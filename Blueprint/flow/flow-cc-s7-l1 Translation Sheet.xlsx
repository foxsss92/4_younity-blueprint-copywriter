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4" activeTab="4" autoFilterDateGrouping="1"/>
  </bookViews>
  <sheets>
    <sheet name="Intro" sheetId="1" state="visible" r:id="rId1"/>
    <sheet name="Video List" sheetId="2" state="visible" r:id="rId2"/>
    <sheet name="Emails" sheetId="3" state="visible" r:id="rId3"/>
    <sheet name="Website Links" sheetId="4" state="visible" r:id="rId4"/>
    <sheet name="Graphics" sheetId="5" state="visible" r:id="rId5"/>
    <sheet name="Facebook Text" sheetId="6" state="visible" r:id="rId6"/>
    <sheet name="Facebook Snippets" sheetId="7" state="visible" r:id="rId7"/>
    <sheet name="6 Facebook Snippets" sheetId="8" state="hidden" r:id="rId8"/>
    <sheet name="10) Upviral (optional)" sheetId="9" state="hidden" r:id="rId9"/>
    <sheet name="UTM Links" sheetId="10" state="visible" r:id="rId10"/>
    <sheet name="Tag Generator" sheetId="11" state="visible" r:id="rId11"/>
    <sheet name="(data validation)" sheetId="12" state="visible" r:id="rId12"/>
  </sheets>
  <definedNames/>
  <calcPr calcId="191028" fullCalcOnLoad="1"/>
</workbook>
</file>

<file path=xl/styles.xml><?xml version="1.0" encoding="utf-8"?>
<styleSheet xmlns="http://schemas.openxmlformats.org/spreadsheetml/2006/main">
  <numFmts count="4">
    <numFmt numFmtId="164" formatCode="[$-C09]dddd\,\ d\ mmmm\ yyyy;@"/>
    <numFmt numFmtId="165" formatCode="_ * #,##0_ ;_ * \-#,##0_ ;_ * &quot;-&quot;??_ ;_ @_ "/>
    <numFmt numFmtId="166" formatCode="[$-F800]dddd\,\ mmmm\ dd\,\ yyyy"/>
    <numFmt numFmtId="167" formatCode="_ * #,##0.00_ ;_ * \-#,##0.00_ ;_ * &quot;-&quot;??_ ;_ @_ "/>
  </numFmts>
  <fonts count="50">
    <font>
      <name val="Calibri"/>
      <family val="2"/>
      <color theme="1"/>
      <sz val="11"/>
      <scheme val="minor"/>
    </font>
    <font>
      <name val="Calibri"/>
      <color theme="1"/>
      <sz val="11"/>
      <scheme val="minor"/>
    </font>
    <font>
      <name val="Calibri"/>
      <color theme="1"/>
      <sz val="11"/>
      <scheme val="minor"/>
    </font>
    <font>
      <name val="Calibri"/>
      <family val="2"/>
      <color rgb="FFFF0000"/>
      <sz val="11"/>
      <scheme val="minor"/>
    </font>
    <font>
      <name val="Calibri"/>
      <family val="2"/>
      <b val="1"/>
      <color theme="1"/>
      <sz val="11"/>
      <scheme val="minor"/>
    </font>
    <font>
      <name val="Calibri"/>
      <family val="2"/>
      <b val="1"/>
      <color rgb="FFFF0000"/>
      <sz val="11"/>
      <scheme val="minor"/>
    </font>
    <font>
      <name val="Calibri"/>
      <family val="2"/>
      <color theme="10"/>
      <sz val="11"/>
      <u val="single"/>
      <scheme val="minor"/>
    </font>
    <font>
      <name val="Calibri"/>
      <family val="2"/>
      <b val="1"/>
      <color rgb="FF000000"/>
      <sz val="11"/>
      <scheme val="minor"/>
    </font>
    <font>
      <name val="Calibri"/>
      <family val="2"/>
      <color rgb="FF000000"/>
      <sz val="11"/>
      <scheme val="minor"/>
    </font>
    <font>
      <name val="Calibri"/>
      <family val="2"/>
      <b val="1"/>
      <color theme="0"/>
      <sz val="11"/>
      <scheme val="minor"/>
    </font>
    <font>
      <name val="Calibri"/>
      <family val="2"/>
      <b val="1"/>
      <color theme="1"/>
      <sz val="9"/>
      <scheme val="minor"/>
    </font>
    <font>
      <name val="Calibri"/>
      <family val="2"/>
      <i val="1"/>
      <color theme="1"/>
      <sz val="11"/>
      <scheme val="minor"/>
    </font>
    <font>
      <name val="Calibri"/>
      <family val="2"/>
      <sz val="8"/>
      <scheme val="minor"/>
    </font>
    <font>
      <name val="Calibri"/>
      <family val="2"/>
      <b val="1"/>
      <color rgb="FF00B0F0"/>
      <sz val="11"/>
      <scheme val="minor"/>
    </font>
    <font>
      <name val="Calibri"/>
      <family val="2"/>
      <color rgb="FF444444"/>
      <sz val="11"/>
    </font>
    <font>
      <name val="Calibri"/>
      <family val="2"/>
      <color theme="1"/>
      <sz val="11"/>
      <scheme val="minor"/>
    </font>
    <font>
      <name val="Arial"/>
      <family val="2"/>
      <color rgb="FF000000"/>
      <sz val="10"/>
    </font>
    <font>
      <name val="Calibri"/>
      <family val="2"/>
      <color rgb="FF000000"/>
      <sz val="11"/>
    </font>
    <font>
      <name val="Calibri"/>
      <family val="2"/>
      <color rgb="FF0070C0"/>
      <sz val="11"/>
      <scheme val="minor"/>
    </font>
    <font>
      <name val="Calibri"/>
      <family val="2"/>
      <color rgb="FF000000"/>
      <sz val="12"/>
    </font>
    <font>
      <name val="Calibri"/>
      <family val="2"/>
      <i val="1"/>
      <color rgb="FFFFFFFF"/>
      <sz val="11"/>
    </font>
    <font>
      <name val="Calibri"/>
      <family val="2"/>
      <i val="1"/>
      <color rgb="FF000000"/>
      <sz val="11"/>
    </font>
    <font>
      <name val="Calibri"/>
      <family val="2"/>
      <i val="1"/>
      <color rgb="FF000000"/>
      <sz val="12"/>
    </font>
    <font>
      <name val="Calibri"/>
      <family val="2"/>
      <b val="1"/>
      <color rgb="FF000000"/>
      <sz val="11"/>
    </font>
    <font>
      <name val="Calibri"/>
      <family val="2"/>
      <color theme="1"/>
      <sz val="11"/>
    </font>
    <font>
      <name val="Calibri"/>
      <family val="2"/>
      <color theme="0"/>
      <sz val="11"/>
      <scheme val="minor"/>
    </font>
    <font>
      <name val="Arial"/>
      <family val="2"/>
      <color rgb="FF1F2129"/>
      <sz val="11"/>
    </font>
    <font>
      <name val="Calibri"/>
      <family val="2"/>
      <color theme="1"/>
      <sz val="10"/>
      <scheme val="minor"/>
    </font>
    <font>
      <name val="Calibri"/>
      <color rgb="FFFFFFFF"/>
      <sz val="10"/>
      <scheme val="minor"/>
    </font>
    <font>
      <name val="Calibri"/>
      <color theme="7"/>
      <sz val="10"/>
      <scheme val="minor"/>
    </font>
    <font>
      <name val="Calibri"/>
      <color theme="1"/>
      <sz val="10"/>
      <scheme val="minor"/>
    </font>
    <font>
      <name val="Calibri"/>
      <b val="1"/>
      <color theme="1"/>
      <sz val="10"/>
      <scheme val="minor"/>
    </font>
    <font>
      <name val="Calibri"/>
      <color theme="10"/>
      <sz val="11"/>
      <u val="single"/>
      <scheme val="minor"/>
    </font>
    <font>
      <name val="Calibri"/>
      <b val="1"/>
      <color theme="1"/>
      <sz val="16"/>
      <scheme val="minor"/>
    </font>
    <font>
      <name val="Calibri"/>
      <color theme="1"/>
      <sz val="16"/>
      <scheme val="minor"/>
    </font>
    <font>
      <name val="Calibri"/>
      <color rgb="FF00B0F0"/>
      <sz val="10"/>
      <scheme val="minor"/>
    </font>
    <font>
      <name val="Calibri"/>
      <color rgb="FF000000"/>
      <sz val="10"/>
      <scheme val="minor"/>
    </font>
    <font>
      <name val="Calibri"/>
      <color indexed="8"/>
      <sz val="10"/>
      <scheme val="minor"/>
    </font>
    <font>
      <name val="Calibri"/>
      <color rgb="FFFFFFFF"/>
      <sz val="11"/>
      <scheme val="minor"/>
    </font>
    <font>
      <name val="Calibri"/>
      <color rgb="FFFF0000"/>
      <sz val="10"/>
      <scheme val="minor"/>
    </font>
    <font>
      <name val="Calibri"/>
      <color rgb="FFFF0000"/>
      <sz val="11"/>
      <scheme val="minor"/>
    </font>
    <font>
      <name val="Calibri"/>
      <charset val="1"/>
      <color rgb="FFFF0000"/>
      <sz val="11"/>
    </font>
    <font>
      <name val="Calibri"/>
      <color rgb="FF000000"/>
      <sz val="11"/>
      <scheme val="minor"/>
    </font>
    <font>
      <name val="Calibri"/>
      <b val="1"/>
      <color rgb="FF000000"/>
      <sz val="11"/>
      <scheme val="minor"/>
    </font>
    <font>
      <name val="Calibri"/>
      <b val="1"/>
      <color rgb="FFFFFFFF"/>
      <sz val="11"/>
    </font>
    <font>
      <name val="Calibri"/>
      <b val="1"/>
      <color rgb="FF1F4E79"/>
      <sz val="11"/>
    </font>
    <font>
      <name val="Cambria"/>
      <charset val="1"/>
      <b val="1"/>
      <color rgb="FFFFFFFF"/>
      <sz val="10"/>
    </font>
    <font>
      <name val="Calibri"/>
      <charset val="1"/>
      <color theme="1"/>
      <sz val="10"/>
    </font>
    <font>
      <name val="Cambria"/>
      <charset val="1"/>
      <b val="1"/>
      <color rgb="FF833C00"/>
      <sz val="10"/>
    </font>
    <font>
      <name val="Calibri"/>
      <charset val="1"/>
      <color rgb="FF000000"/>
      <sz val="10"/>
    </font>
  </fonts>
  <fills count="41">
    <fill>
      <patternFill/>
    </fill>
    <fill>
      <patternFill patternType="gray125"/>
    </fill>
    <fill>
      <patternFill patternType="solid">
        <fgColor rgb="FFFFFF00"/>
        <bgColor indexed="64"/>
      </patternFill>
    </fill>
    <fill>
      <patternFill patternType="solid">
        <fgColor rgb="FFAEAAAA"/>
        <bgColor indexed="64"/>
      </patternFill>
    </fill>
    <fill>
      <patternFill patternType="solid">
        <fgColor theme="8"/>
        <bgColor indexed="64"/>
      </patternFill>
    </fill>
    <fill>
      <patternFill patternType="solid">
        <fgColor theme="8" tint="0.7999816888943144"/>
        <bgColor indexed="64"/>
      </patternFill>
    </fill>
    <fill>
      <patternFill patternType="solid">
        <fgColor theme="1"/>
        <bgColor indexed="64"/>
      </patternFill>
    </fill>
    <fill>
      <patternFill patternType="solid">
        <fgColor theme="0" tint="-0.499984740745262"/>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9" tint="0.7999816888943144"/>
        <bgColor theme="0" tint="-0.1499984740745262"/>
      </patternFill>
    </fill>
    <fill>
      <patternFill patternType="solid">
        <fgColor rgb="FFD9E1F2"/>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theme="0"/>
        <bgColor indexed="64"/>
      </patternFill>
    </fill>
    <fill>
      <patternFill patternType="solid">
        <fgColor theme="2"/>
        <bgColor indexed="64"/>
      </patternFill>
    </fill>
    <fill>
      <patternFill patternType="solid">
        <fgColor theme="6" tint="0.7999816888943144"/>
        <bgColor indexed="64"/>
      </patternFill>
    </fill>
    <fill>
      <patternFill patternType="solid">
        <fgColor rgb="FF434343"/>
        <bgColor rgb="FF434343"/>
      </patternFill>
    </fill>
    <fill>
      <patternFill patternType="solid">
        <fgColor rgb="FFFFFFFF"/>
        <bgColor indexed="64"/>
      </patternFill>
    </fill>
    <fill>
      <patternFill patternType="solid">
        <fgColor theme="8" tint="0.3999755851924192"/>
        <bgColor indexed="64"/>
      </patternFill>
    </fill>
    <fill>
      <patternFill patternType="solid">
        <fgColor rgb="FF4472C4"/>
        <bgColor rgb="FF4472C4"/>
      </patternFill>
    </fill>
    <fill>
      <patternFill patternType="solid">
        <fgColor rgb="FFD9E1F2"/>
        <bgColor rgb="FFD9E1F2"/>
      </patternFill>
    </fill>
    <fill>
      <patternFill patternType="solid">
        <fgColor rgb="FFFFFFFF"/>
        <bgColor rgb="FF000000"/>
      </patternFill>
    </fill>
    <fill>
      <patternFill patternType="solid">
        <fgColor rgb="FFFFFFFF"/>
        <bgColor rgb="FFD9E1F2"/>
      </patternFill>
    </fill>
    <fill>
      <patternFill patternType="solid">
        <fgColor rgb="FFD9E1F2"/>
        <bgColor rgb="FF000000"/>
      </patternFill>
    </fill>
    <fill>
      <patternFill patternType="solid">
        <fgColor rgb="FFFFFF00"/>
        <bgColor rgb="FF000000"/>
      </patternFill>
    </fill>
    <fill>
      <patternFill patternType="solid">
        <fgColor theme="0" tint="-0.1499984740745262"/>
        <bgColor theme="0" tint="-0.1499984740745262"/>
      </patternFill>
    </fill>
    <fill>
      <patternFill patternType="solid">
        <fgColor theme="1" tint="0.499984740745262"/>
        <bgColor indexed="64"/>
      </patternFill>
    </fill>
    <fill>
      <patternFill patternType="solid">
        <fgColor theme="4"/>
        <bgColor indexed="64"/>
      </patternFill>
    </fill>
    <fill>
      <patternFill patternType="solid">
        <fgColor theme="2" tint="-0.09997863704336681"/>
        <bgColor indexed="64"/>
      </patternFill>
    </fill>
    <fill>
      <patternFill patternType="solid">
        <fgColor rgb="FF1F4E79"/>
      </patternFill>
    </fill>
    <fill>
      <patternFill patternType="solid">
        <fgColor rgb="FF2E75B6"/>
      </patternFill>
    </fill>
    <fill>
      <patternFill patternType="solid">
        <fgColor rgb="FFD6E4F0"/>
      </patternFill>
    </fill>
    <fill>
      <patternFill patternType="solid">
        <fgColor rgb="FFEBF3FB"/>
      </patternFill>
    </fill>
    <fill>
      <patternFill patternType="solid">
        <fgColor rgb="FFC55A11"/>
        <bgColor indexed="64"/>
      </patternFill>
    </fill>
    <fill>
      <patternFill patternType="solid">
        <fgColor rgb="FFFCE4D6"/>
        <bgColor indexed="64"/>
      </patternFill>
    </fill>
    <fill>
      <patternFill patternType="solid">
        <fgColor rgb="FFFFF2CC"/>
        <bgColor indexed="64"/>
      </patternFill>
    </fill>
    <fill>
      <patternFill patternType="solid">
        <fgColor theme="0" tint="-0.0499893185216834"/>
        <bgColor indexed="64"/>
      </patternFill>
    </fill>
    <fill>
      <patternFill patternType="solid">
        <fgColor rgb="00FFFF00"/>
        <bgColor rgb="00FFFF00"/>
      </patternFill>
    </fill>
  </fills>
  <borders count="55">
    <border>
      <left/>
      <right/>
      <top/>
      <bottom/>
      <diagonal/>
    </border>
    <border>
      <left style="thin">
        <color rgb="FFAEAAAA"/>
      </left>
      <right style="thin">
        <color rgb="FFAEAAAA"/>
      </right>
      <top style="thin">
        <color rgb="FFAEAAAA"/>
      </top>
      <bottom style="thin">
        <color rgb="FFAEAAAA"/>
      </bottom>
      <diagonal/>
    </border>
    <border>
      <left style="thin">
        <color indexed="64"/>
      </left>
      <right style="thin">
        <color indexed="64"/>
      </right>
      <top style="thin">
        <color indexed="64"/>
      </top>
      <bottom style="thin">
        <color indexed="64"/>
      </bottom>
      <diagonal/>
    </border>
    <border>
      <left style="thin">
        <color rgb="FFAEAAAA"/>
      </left>
      <right/>
      <top style="thin">
        <color rgb="FFAEAAAA"/>
      </top>
      <bottom style="thin">
        <color rgb="FFAEAAAA"/>
      </bottom>
      <diagonal/>
    </border>
    <border>
      <left style="thin">
        <color rgb="FFAEAAAA"/>
      </left>
      <right style="thin">
        <color rgb="FFAEAAAA"/>
      </right>
      <top/>
      <bottom style="thin">
        <color rgb="FFAEAAAA"/>
      </bottom>
      <diagonal/>
    </border>
    <border>
      <left style="thin">
        <color rgb="FFAEAAAA"/>
      </left>
      <right/>
      <top/>
      <bottom style="thin">
        <color rgb="FFAEAAAA"/>
      </bottom>
      <diagonal/>
    </border>
    <border>
      <left style="thin">
        <color rgb="FFAEAAAA"/>
      </left>
      <right style="thin">
        <color rgb="FFAEAAAA"/>
      </right>
      <top style="thin">
        <color rgb="FFAEAAAA"/>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1"/>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rgb="FFF2F2F2"/>
      </left>
      <right style="thin">
        <color rgb="FFF2F2F2"/>
      </right>
      <top style="thin">
        <color rgb="FFF2F2F2"/>
      </top>
      <bottom style="thin">
        <color rgb="FFF2F2F2"/>
      </bottom>
      <diagonal/>
    </border>
    <border>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thin">
        <color rgb="FFAEAAAA"/>
      </left>
      <right/>
      <top style="thin">
        <color rgb="FFAEAAAA"/>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4472C4"/>
      </left>
      <right style="thin">
        <color rgb="FF4472C4"/>
      </right>
      <top style="thin">
        <color rgb="FF4472C4"/>
      </top>
      <bottom style="thin">
        <color rgb="FF4472C4"/>
      </bottom>
      <diagonal/>
    </border>
    <border>
      <left/>
      <right style="thin">
        <color rgb="FF4472C4"/>
      </right>
      <top style="thin">
        <color rgb="FF4472C4"/>
      </top>
      <bottom style="thin">
        <color rgb="FF4472C4"/>
      </bottom>
      <diagonal/>
    </border>
    <border>
      <left style="thin">
        <color rgb="FF4472C4"/>
      </left>
      <right style="thin">
        <color rgb="FF4472C4"/>
      </right>
      <top/>
      <bottom style="thin">
        <color rgb="FF4472C4"/>
      </bottom>
      <diagonal/>
    </border>
    <border>
      <left/>
      <right style="thin">
        <color rgb="FF4472C4"/>
      </right>
      <top/>
      <bottom style="thin">
        <color rgb="FF4472C4"/>
      </bottom>
      <diagonal/>
    </border>
    <border>
      <left style="thin">
        <color theme="1"/>
      </left>
      <right/>
      <top style="thin">
        <color theme="1"/>
      </top>
      <bottom style="thin">
        <color theme="1"/>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AEAAAA"/>
      </right>
      <top style="thin">
        <color rgb="FF000000"/>
      </top>
      <bottom style="thin">
        <color rgb="FF000000"/>
      </bottom>
      <diagonal/>
    </border>
    <border>
      <left style="thin">
        <color rgb="FFAEAAAA"/>
      </left>
      <right style="thin">
        <color rgb="FFAEAAAA"/>
      </right>
      <top style="thin">
        <color rgb="FF000000"/>
      </top>
      <bottom style="thin">
        <color rgb="FF000000"/>
      </bottom>
      <diagonal/>
    </border>
    <border>
      <left style="thin">
        <color rgb="FFAEAAAA"/>
      </left>
      <right style="thin">
        <color rgb="FF000000"/>
      </right>
      <top style="thin">
        <color rgb="FF000000"/>
      </top>
      <bottom style="thin">
        <color rgb="FF000000"/>
      </bottom>
      <diagonal/>
    </border>
    <border>
      <left/>
      <right/>
      <top/>
      <bottom style="thin">
        <color indexed="64"/>
      </bottom>
      <diagonal/>
    </border>
    <border>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0000"/>
      </right>
      <top style="thin">
        <color rgb="FF000000"/>
      </top>
      <bottom style="thin">
        <color rgb="FF000000"/>
      </bottom>
      <diagonal/>
    </border>
  </borders>
  <cellStyleXfs count="4">
    <xf numFmtId="0" fontId="15" fillId="0" borderId="0"/>
    <xf numFmtId="167" fontId="15" fillId="0" borderId="0"/>
    <xf numFmtId="0" fontId="16" fillId="0" borderId="0"/>
    <xf numFmtId="0" fontId="6" fillId="0" borderId="0"/>
  </cellStyleXfs>
  <cellXfs count="291">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4" fillId="0" borderId="0" applyAlignment="1" pivotButton="0" quotePrefix="0" xfId="0">
      <alignment wrapText="1"/>
    </xf>
    <xf numFmtId="0" fontId="0" fillId="4"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8" fillId="0" borderId="0" applyAlignment="1" pivotButton="0" quotePrefix="0" xfId="0">
      <alignment vertical="center" wrapText="1"/>
    </xf>
    <xf numFmtId="0" fontId="10" fillId="2" borderId="0" applyAlignment="1" pivotButton="0" quotePrefix="0" xfId="0">
      <alignment horizontal="center" wrapText="1"/>
    </xf>
    <xf numFmtId="0" fontId="9" fillId="7" borderId="2" applyAlignment="1" pivotButton="0" quotePrefix="0" xfId="0">
      <alignment vertical="center" wrapText="1"/>
    </xf>
    <xf numFmtId="0" fontId="0" fillId="0" borderId="2" pivotButton="0" quotePrefix="0" xfId="0"/>
    <xf numFmtId="0" fontId="4" fillId="0" borderId="0" applyAlignment="1" pivotButton="0" quotePrefix="0" xfId="0">
      <alignment horizontal="center" vertical="center"/>
    </xf>
    <xf numFmtId="0" fontId="0" fillId="0" borderId="1" applyAlignment="1" pivotButton="0" quotePrefix="0" xfId="0">
      <alignment vertical="top"/>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wrapText="1"/>
    </xf>
    <xf numFmtId="0" fontId="0" fillId="0" borderId="3" pivotButton="0" quotePrefix="0" xfId="0"/>
    <xf numFmtId="0" fontId="0" fillId="0" borderId="3" applyAlignment="1" pivotButton="0" quotePrefix="0" xfId="0">
      <alignment wrapText="1"/>
    </xf>
    <xf numFmtId="0" fontId="4" fillId="0" borderId="4" applyAlignment="1" pivotButton="0" quotePrefix="0" xfId="0">
      <alignment vertical="top" wrapText="1"/>
    </xf>
    <xf numFmtId="0" fontId="4" fillId="0" borderId="5" applyAlignment="1" pivotButton="0" quotePrefix="0" xfId="0">
      <alignment wrapText="1"/>
    </xf>
    <xf numFmtId="0" fontId="0" fillId="8" borderId="1" applyAlignment="1" pivotButton="0" quotePrefix="0" xfId="0">
      <alignment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8" borderId="0" pivotButton="0" quotePrefix="0" xfId="0"/>
    <xf numFmtId="0" fontId="9" fillId="6" borderId="7" applyAlignment="1" pivotButton="0" quotePrefix="0" xfId="0">
      <alignment horizontal="center" vertical="center" wrapText="1"/>
    </xf>
    <xf numFmtId="0" fontId="9" fillId="6" borderId="8" applyAlignment="1" pivotButton="0" quotePrefix="0" xfId="0">
      <alignment vertical="center" wrapText="1"/>
    </xf>
    <xf numFmtId="0" fontId="0" fillId="0" borderId="0" applyAlignment="1" pivotButton="0" quotePrefix="0" xfId="0">
      <alignment horizontal="left" vertical="top" wrapText="1"/>
    </xf>
    <xf numFmtId="0" fontId="6" fillId="0" borderId="0" applyAlignment="1" pivotButton="0" quotePrefix="0" xfId="3">
      <alignment horizontal="left" vertical="top" wrapText="1"/>
    </xf>
    <xf numFmtId="0" fontId="0" fillId="0" borderId="8" applyAlignment="1" pivotButton="0" quotePrefix="0" xfId="0">
      <alignment horizontal="left" vertical="top" wrapText="1"/>
    </xf>
    <xf numFmtId="0" fontId="0" fillId="0" borderId="2" applyAlignment="1" pivotButton="0" quotePrefix="0" xfId="0">
      <alignment horizontal="left" vertical="top" wrapText="1"/>
    </xf>
    <xf numFmtId="0" fontId="0" fillId="8" borderId="11" pivotButton="0" quotePrefix="0" xfId="0"/>
    <xf numFmtId="0" fontId="6" fillId="0" borderId="0" applyAlignment="1" pivotButton="0" quotePrefix="0" xfId="3">
      <alignment wrapText="1"/>
    </xf>
    <xf numFmtId="0" fontId="9" fillId="6" borderId="8" applyAlignment="1" pivotButton="0" quotePrefix="0" xfId="0">
      <alignment horizontal="center" vertical="center" wrapText="1"/>
    </xf>
    <xf numFmtId="0" fontId="11" fillId="10" borderId="16" applyAlignment="1" pivotButton="0" quotePrefix="0" xfId="0">
      <alignment horizontal="center" vertical="center"/>
    </xf>
    <xf numFmtId="0" fontId="11" fillId="11" borderId="17" applyAlignment="1" pivotButton="0" quotePrefix="0" xfId="0">
      <alignment horizontal="center" vertical="center"/>
    </xf>
    <xf numFmtId="0" fontId="4" fillId="9" borderId="18" applyAlignment="1" pivotButton="0" quotePrefix="0" xfId="0">
      <alignment horizontal="center" vertical="center"/>
    </xf>
    <xf numFmtId="0" fontId="6" fillId="0" borderId="0" pivotButton="0" quotePrefix="0" xfId="3"/>
    <xf numFmtId="0" fontId="9" fillId="0" borderId="4" applyAlignment="1" pivotButton="0" quotePrefix="0" xfId="0">
      <alignment wrapText="1"/>
    </xf>
    <xf numFmtId="0" fontId="0" fillId="13" borderId="2" pivotButton="0" quotePrefix="0" xfId="0"/>
    <xf numFmtId="0" fontId="0" fillId="13" borderId="13" pivotButton="0" quotePrefix="0" xfId="0"/>
    <xf numFmtId="0" fontId="0" fillId="5" borderId="0" pivotButton="0" quotePrefix="0" xfId="0"/>
    <xf numFmtId="0" fontId="0" fillId="5" borderId="0" applyAlignment="1" pivotButton="0" quotePrefix="0" xfId="0">
      <alignment wrapText="1"/>
    </xf>
    <xf numFmtId="0" fontId="4" fillId="10" borderId="0" applyAlignment="1" pivotButton="0" quotePrefix="0" xfId="0">
      <alignment vertical="top" wrapText="1"/>
    </xf>
    <xf numFmtId="164" fontId="13" fillId="12" borderId="19" applyAlignment="1" pivotButton="0" quotePrefix="0" xfId="0">
      <alignment horizontal="center" vertical="center"/>
    </xf>
    <xf numFmtId="0" fontId="4" fillId="5" borderId="0" pivotButton="0" quotePrefix="0" xfId="0"/>
    <xf numFmtId="0" fontId="0" fillId="18" borderId="0" pivotButton="0" quotePrefix="0" xfId="0"/>
    <xf numFmtId="0" fontId="14" fillId="5" borderId="0" pivotButton="0" quotePrefix="0" xfId="0"/>
    <xf numFmtId="0" fontId="0" fillId="5" borderId="0" applyAlignment="1" pivotButton="0" quotePrefix="0" xfId="0">
      <alignment vertical="center"/>
    </xf>
    <xf numFmtId="165" fontId="16" fillId="0" borderId="0" applyAlignment="1" pivotButton="0" quotePrefix="0" xfId="1">
      <alignment horizontal="center" wrapText="1"/>
    </xf>
    <xf numFmtId="0" fontId="6" fillId="0" borderId="0" pivotButton="0" quotePrefix="0" xfId="3"/>
    <xf numFmtId="0" fontId="0" fillId="8" borderId="24" pivotButton="0" quotePrefix="0" xfId="0"/>
    <xf numFmtId="0" fontId="6" fillId="0" borderId="0" pivotButton="0" quotePrefix="0" xfId="3"/>
    <xf numFmtId="0" fontId="0" fillId="0" borderId="6" applyAlignment="1" pivotButton="0" quotePrefix="0" xfId="0">
      <alignment vertical="top"/>
    </xf>
    <xf numFmtId="0" fontId="0" fillId="8" borderId="6" applyAlignment="1" pivotButton="0" quotePrefix="0" xfId="0">
      <alignment wrapText="1"/>
    </xf>
    <xf numFmtId="0" fontId="0" fillId="0" borderId="25" pivotButton="0" quotePrefix="0" xfId="0"/>
    <xf numFmtId="0" fontId="0" fillId="0" borderId="25" applyAlignment="1" pivotButton="0" quotePrefix="0" xfId="0">
      <alignment wrapText="1"/>
    </xf>
    <xf numFmtId="0" fontId="4" fillId="3" borderId="0" pivotButton="0" quotePrefix="0" xfId="0"/>
    <xf numFmtId="0" fontId="0" fillId="5" borderId="0" applyAlignment="1" pivotButton="0" quotePrefix="0" xfId="0">
      <alignment horizontal="center" vertical="center"/>
    </xf>
    <xf numFmtId="0" fontId="0" fillId="15" borderId="0" applyAlignment="1" pivotButton="0" quotePrefix="0" xfId="0">
      <alignment horizontal="center" vertical="center"/>
    </xf>
    <xf numFmtId="0" fontId="0" fillId="14" borderId="0" applyAlignment="1" pivotButton="0" quotePrefix="0" xfId="0">
      <alignment horizontal="center" vertical="center"/>
    </xf>
    <xf numFmtId="0" fontId="4" fillId="9" borderId="18" applyAlignment="1" pivotButton="0" quotePrefix="0" xfId="0">
      <alignment horizontal="center"/>
    </xf>
    <xf numFmtId="0" fontId="0" fillId="5" borderId="10" applyAlignment="1" pivotButton="0" quotePrefix="0" xfId="0">
      <alignment horizontal="center"/>
    </xf>
    <xf numFmtId="0" fontId="0" fillId="5" borderId="15" pivotButton="0" quotePrefix="0" xfId="0"/>
    <xf numFmtId="0" fontId="0" fillId="15" borderId="15" pivotButton="0" quotePrefix="0" xfId="0"/>
    <xf numFmtId="0" fontId="0" fillId="21" borderId="15" pivotButton="0" quotePrefix="0" xfId="0"/>
    <xf numFmtId="0" fontId="0" fillId="21" borderId="15" applyAlignment="1" pivotButton="0" quotePrefix="0" xfId="0">
      <alignment horizontal="center"/>
    </xf>
    <xf numFmtId="0" fontId="0" fillId="9" borderId="19" applyAlignment="1" pivotButton="0" quotePrefix="0" xfId="0">
      <alignment horizontal="center" vertical="center"/>
    </xf>
    <xf numFmtId="164" fontId="0" fillId="12" borderId="19" applyAlignment="1" pivotButton="0" quotePrefix="0" xfId="0">
      <alignment horizontal="center" vertical="center"/>
    </xf>
    <xf numFmtId="0" fontId="21" fillId="23" borderId="31" applyAlignment="1" pivotButton="0" quotePrefix="0" xfId="0">
      <alignment wrapText="1"/>
    </xf>
    <xf numFmtId="0" fontId="21" fillId="25" borderId="31" applyAlignment="1" pivotButton="0" quotePrefix="0" xfId="0">
      <alignment wrapText="1"/>
    </xf>
    <xf numFmtId="0" fontId="21" fillId="0" borderId="31" applyAlignment="1" pivotButton="0" quotePrefix="0" xfId="0">
      <alignment wrapText="1"/>
    </xf>
    <xf numFmtId="0" fontId="21" fillId="26" borderId="31" applyAlignment="1" pivotButton="0" quotePrefix="0" xfId="0">
      <alignment wrapText="1"/>
    </xf>
    <xf numFmtId="0" fontId="17" fillId="0" borderId="0" applyAlignment="1" pivotButton="0" quotePrefix="0" xfId="0">
      <alignment wrapText="1"/>
    </xf>
    <xf numFmtId="0" fontId="19" fillId="0" borderId="0" applyAlignment="1" pivotButton="0" quotePrefix="0" xfId="0">
      <alignment wrapText="1"/>
    </xf>
    <xf numFmtId="0" fontId="20" fillId="22" borderId="28" applyAlignment="1" pivotButton="0" quotePrefix="0" xfId="0">
      <alignment wrapText="1"/>
    </xf>
    <xf numFmtId="0" fontId="20" fillId="22" borderId="29" applyAlignment="1" pivotButton="0" quotePrefix="0" xfId="0">
      <alignment wrapText="1"/>
    </xf>
    <xf numFmtId="0" fontId="21" fillId="23" borderId="30" applyAlignment="1" pivotButton="0" quotePrefix="0" xfId="0">
      <alignment wrapText="1"/>
    </xf>
    <xf numFmtId="0" fontId="17" fillId="24" borderId="0" applyAlignment="1" pivotButton="0" quotePrefix="0" xfId="0">
      <alignment wrapText="1"/>
    </xf>
    <xf numFmtId="0" fontId="21" fillId="25" borderId="30" applyAlignment="1" pivotButton="0" quotePrefix="0" xfId="0">
      <alignment wrapText="1"/>
    </xf>
    <xf numFmtId="0" fontId="22" fillId="24" borderId="31" applyAlignment="1" pivotButton="0" quotePrefix="0" xfId="0">
      <alignment wrapText="1"/>
    </xf>
    <xf numFmtId="0" fontId="22" fillId="26" borderId="31" applyAlignment="1" pivotButton="0" quotePrefix="0" xfId="0">
      <alignment wrapText="1"/>
    </xf>
    <xf numFmtId="0" fontId="21" fillId="27" borderId="31" applyAlignment="1" pivotButton="0" quotePrefix="0" xfId="0">
      <alignment wrapText="1"/>
    </xf>
    <xf numFmtId="0" fontId="22" fillId="0" borderId="31" applyAlignment="1" pivotButton="0" quotePrefix="0" xfId="0">
      <alignment wrapText="1"/>
    </xf>
    <xf numFmtId="0" fontId="17" fillId="24" borderId="31" applyAlignment="1" pivotButton="0" quotePrefix="0" xfId="0">
      <alignment wrapText="1"/>
    </xf>
    <xf numFmtId="0" fontId="19" fillId="24" borderId="31" applyAlignment="1" pivotButton="0" quotePrefix="0" xfId="0">
      <alignment wrapText="1"/>
    </xf>
    <xf numFmtId="0" fontId="23" fillId="0" borderId="0" applyAlignment="1" pivotButton="0" quotePrefix="0" xfId="0">
      <alignment wrapText="1"/>
    </xf>
    <xf numFmtId="0" fontId="0" fillId="28" borderId="23" pivotButton="0" quotePrefix="0" xfId="0"/>
    <xf numFmtId="0" fontId="0" fillId="5" borderId="15" applyAlignment="1" pivotButton="0" quotePrefix="0" xfId="0">
      <alignment horizontal="center"/>
    </xf>
    <xf numFmtId="0" fontId="0" fillId="15" borderId="15" applyAlignment="1" pivotButton="0" quotePrefix="0" xfId="0">
      <alignment horizontal="center"/>
    </xf>
    <xf numFmtId="164" fontId="0" fillId="5" borderId="15" applyAlignment="1" pivotButton="0" quotePrefix="0" xfId="0">
      <alignment horizontal="left"/>
    </xf>
    <xf numFmtId="0" fontId="6" fillId="5" borderId="2" pivotButton="0" quotePrefix="0" xfId="3"/>
    <xf numFmtId="164" fontId="0" fillId="15" borderId="15" applyAlignment="1" pivotButton="0" quotePrefix="0" xfId="0">
      <alignment horizontal="left"/>
    </xf>
    <xf numFmtId="0" fontId="6" fillId="15" borderId="2" pivotButton="0" quotePrefix="0" xfId="3"/>
    <xf numFmtId="164" fontId="0" fillId="21" borderId="15" applyAlignment="1" pivotButton="0" quotePrefix="0" xfId="0">
      <alignment horizontal="left"/>
    </xf>
    <xf numFmtId="164" fontId="0" fillId="15" borderId="0" applyAlignment="1" pivotButton="0" quotePrefix="0" xfId="0">
      <alignment horizontal="left"/>
    </xf>
    <xf numFmtId="164" fontId="0" fillId="21" borderId="0" applyAlignment="1" pivotButton="0" quotePrefix="0" xfId="0">
      <alignment horizontal="left"/>
    </xf>
    <xf numFmtId="164" fontId="0" fillId="5" borderId="0" applyAlignment="1" pivotButton="0" quotePrefix="0" xfId="0">
      <alignment horizontal="left"/>
    </xf>
    <xf numFmtId="164" fontId="6" fillId="5" borderId="0" applyAlignment="1" pivotButton="0" quotePrefix="0" xfId="3">
      <alignment horizontal="left"/>
    </xf>
    <xf numFmtId="0" fontId="0" fillId="0" borderId="23" applyAlignment="1" pivotButton="0" quotePrefix="0" xfId="0">
      <alignment wrapText="1"/>
    </xf>
    <xf numFmtId="0" fontId="0" fillId="28" borderId="23" applyAlignment="1" pivotButton="0" quotePrefix="0" xfId="0">
      <alignment wrapText="1"/>
    </xf>
    <xf numFmtId="0" fontId="4" fillId="28" borderId="32" applyAlignment="1" pivotButton="0" quotePrefix="0" xfId="0">
      <alignment horizontal="center" vertical="center"/>
    </xf>
    <xf numFmtId="0" fontId="4" fillId="0" borderId="32" applyAlignment="1" pivotButton="0" quotePrefix="0" xfId="0">
      <alignment horizontal="center" vertical="center"/>
    </xf>
    <xf numFmtId="0" fontId="4" fillId="5" borderId="0" applyAlignment="1" pivotButton="0" quotePrefix="0" xfId="0">
      <alignment horizontal="center" vertical="center"/>
    </xf>
    <xf numFmtId="0" fontId="4" fillId="15" borderId="0" applyAlignment="1" pivotButton="0" quotePrefix="0" xfId="0">
      <alignment horizontal="center" vertical="center"/>
    </xf>
    <xf numFmtId="0" fontId="4" fillId="14" borderId="0" applyAlignment="1" pivotButton="0" quotePrefix="0" xfId="0">
      <alignment horizontal="center" vertical="center"/>
    </xf>
    <xf numFmtId="0" fontId="24" fillId="28" borderId="23" applyAlignment="1" pivotButton="0" quotePrefix="0" xfId="0">
      <alignment horizontal="left" vertical="center" wrapText="1"/>
    </xf>
    <xf numFmtId="0" fontId="24" fillId="0" borderId="23" applyAlignment="1" pivotButton="0" quotePrefix="0" xfId="0">
      <alignment horizontal="left" vertical="center" wrapText="1"/>
    </xf>
    <xf numFmtId="0" fontId="0" fillId="0" borderId="2" applyAlignment="1" pivotButton="0" quotePrefix="0" xfId="0">
      <alignment horizontal="left"/>
    </xf>
    <xf numFmtId="0" fontId="4" fillId="3" borderId="0" applyAlignment="1" pivotButton="0" quotePrefix="0" xfId="0">
      <alignment horizontal="center"/>
    </xf>
    <xf numFmtId="0" fontId="6" fillId="0" borderId="0" pivotButton="0" quotePrefix="0" xfId="3"/>
    <xf numFmtId="166" fontId="0" fillId="4" borderId="0" pivotButton="0" quotePrefix="0" xfId="0"/>
    <xf numFmtId="0" fontId="17" fillId="0" borderId="0" applyAlignment="1" pivotButton="0" quotePrefix="0" xfId="0">
      <alignment horizontal="left" vertical="top" wrapText="1"/>
    </xf>
    <xf numFmtId="0" fontId="20" fillId="22" borderId="29" applyAlignment="1" pivotButton="0" quotePrefix="0" xfId="0">
      <alignment horizontal="left" vertical="top" wrapText="1"/>
    </xf>
    <xf numFmtId="0" fontId="21" fillId="23" borderId="30" applyAlignment="1" pivotButton="0" quotePrefix="0" xfId="0">
      <alignment horizontal="left" vertical="top" wrapText="1"/>
    </xf>
    <xf numFmtId="0" fontId="21" fillId="25" borderId="30" applyAlignment="1" pivotButton="0" quotePrefix="0" xfId="0">
      <alignment horizontal="left" vertical="top" wrapText="1"/>
    </xf>
    <xf numFmtId="0" fontId="0" fillId="0" borderId="0" applyAlignment="1" pivotButton="0" quotePrefix="0" xfId="0">
      <alignment horizontal="left" vertical="top"/>
    </xf>
    <xf numFmtId="0" fontId="0" fillId="0" borderId="13" pivotButton="0" quotePrefix="0" xfId="0"/>
    <xf numFmtId="0" fontId="0" fillId="2" borderId="26" pivotButton="0" quotePrefix="0" xfId="0"/>
    <xf numFmtId="0" fontId="4" fillId="0" borderId="11" applyAlignment="1" pivotButton="0" quotePrefix="0" xfId="0">
      <alignment vertical="center" wrapText="1"/>
    </xf>
    <xf numFmtId="0" fontId="7" fillId="0" borderId="11" applyAlignment="1" pivotButton="0" quotePrefix="0" xfId="0">
      <alignment vertical="center" wrapText="1"/>
    </xf>
    <xf numFmtId="0" fontId="0" fillId="16" borderId="26" pivotButton="0" quotePrefix="0" xfId="0"/>
    <xf numFmtId="0" fontId="8" fillId="0" borderId="11" applyAlignment="1" pivotButton="0" quotePrefix="0" xfId="0">
      <alignment vertical="center" wrapText="1"/>
    </xf>
    <xf numFmtId="0" fontId="9" fillId="7" borderId="13" applyAlignment="1" pivotButton="0" quotePrefix="0" xfId="0">
      <alignment vertical="center" wrapText="1"/>
    </xf>
    <xf numFmtId="0" fontId="9" fillId="29" borderId="11" applyAlignment="1" pivotButton="0" quotePrefix="0" xfId="0">
      <alignment vertical="center" wrapText="1"/>
    </xf>
    <xf numFmtId="0" fontId="9" fillId="29" borderId="26" pivotButton="0" quotePrefix="0" xfId="0"/>
    <xf numFmtId="0" fontId="0" fillId="0" borderId="26" pivotButton="0" quotePrefix="0" xfId="0"/>
    <xf numFmtId="0" fontId="25" fillId="30" borderId="36" pivotButton="0" quotePrefix="0" xfId="0"/>
    <xf numFmtId="0" fontId="25" fillId="30" borderId="36" applyAlignment="1" pivotButton="0" quotePrefix="0" xfId="0">
      <alignment wrapText="1"/>
    </xf>
    <xf numFmtId="0" fontId="25" fillId="30" borderId="37" pivotButton="0" quotePrefix="0" xfId="0"/>
    <xf numFmtId="0" fontId="9" fillId="30" borderId="35" applyAlignment="1" pivotButton="0" quotePrefix="0" xfId="0">
      <alignment vertical="top"/>
    </xf>
    <xf numFmtId="0" fontId="9" fillId="0" borderId="5" applyAlignment="1" pivotButton="0" quotePrefix="0" xfId="0">
      <alignment wrapText="1"/>
    </xf>
    <xf numFmtId="0" fontId="0" fillId="0" borderId="21" pivotButton="0" quotePrefix="0" xfId="0"/>
    <xf numFmtId="0" fontId="0" fillId="0" borderId="20" pivotButton="0" quotePrefix="0" xfId="0"/>
    <xf numFmtId="0" fontId="4" fillId="9" borderId="2" pivotButton="0" quotePrefix="0" xfId="0"/>
    <xf numFmtId="0" fontId="4" fillId="31" borderId="13" pivotButton="0" quotePrefix="0" xfId="0"/>
    <xf numFmtId="0" fontId="4" fillId="31" borderId="14" pivotButton="0" quotePrefix="0" xfId="0"/>
    <xf numFmtId="0" fontId="4" fillId="31" borderId="39" pivotButton="0" quotePrefix="0" xfId="0"/>
    <xf numFmtId="0" fontId="4" fillId="31" borderId="12" pivotButton="0" quotePrefix="0" xfId="0"/>
    <xf numFmtId="0" fontId="4" fillId="10" borderId="2" pivotButton="0" quotePrefix="0" xfId="0"/>
    <xf numFmtId="0" fontId="4" fillId="0" borderId="33" pivotButton="0" quotePrefix="0" xfId="0"/>
    <xf numFmtId="0" fontId="4" fillId="0" borderId="40" pivotButton="0" quotePrefix="0" xfId="0"/>
    <xf numFmtId="0" fontId="0" fillId="0" borderId="41" pivotButton="0" quotePrefix="0" xfId="0"/>
    <xf numFmtId="0" fontId="26" fillId="0" borderId="42" pivotButton="0" quotePrefix="0" xfId="0"/>
    <xf numFmtId="0" fontId="0" fillId="0" borderId="43" pivotButton="0" quotePrefix="0" xfId="0"/>
    <xf numFmtId="0" fontId="4" fillId="10" borderId="33" pivotButton="0" quotePrefix="0" xfId="0"/>
    <xf numFmtId="0" fontId="0" fillId="10" borderId="20" pivotButton="0" quotePrefix="0" xfId="0"/>
    <xf numFmtId="0" fontId="0" fillId="10" borderId="0" pivotButton="0" quotePrefix="0" xfId="0"/>
    <xf numFmtId="0" fontId="0" fillId="10" borderId="21" pivotButton="0" quotePrefix="0" xfId="0"/>
    <xf numFmtId="0" fontId="4" fillId="5" borderId="33" pivotButton="0" quotePrefix="0" xfId="0"/>
    <xf numFmtId="0" fontId="0" fillId="5" borderId="20" pivotButton="0" quotePrefix="0" xfId="0"/>
    <xf numFmtId="0" fontId="0" fillId="5" borderId="21" pivotButton="0" quotePrefix="0" xfId="0"/>
    <xf numFmtId="0" fontId="4" fillId="5" borderId="33" applyAlignment="1" pivotButton="0" quotePrefix="0" xfId="0">
      <alignment wrapText="1"/>
    </xf>
    <xf numFmtId="0" fontId="0" fillId="5" borderId="20" applyAlignment="1" pivotButton="0" quotePrefix="0" xfId="0">
      <alignment wrapText="1"/>
    </xf>
    <xf numFmtId="0" fontId="4" fillId="11" borderId="33" pivotButton="0" quotePrefix="0" xfId="0"/>
    <xf numFmtId="0" fontId="0" fillId="11" borderId="20" pivotButton="0" quotePrefix="0" xfId="0"/>
    <xf numFmtId="0" fontId="0" fillId="11" borderId="0" pivotButton="0" quotePrefix="0" xfId="0"/>
    <xf numFmtId="0" fontId="0" fillId="11" borderId="21" pivotButton="0" quotePrefix="0" xfId="0"/>
    <xf numFmtId="0" fontId="4" fillId="11" borderId="8" pivotButton="0" quotePrefix="0" xfId="0"/>
    <xf numFmtId="0" fontId="0" fillId="11" borderId="9" pivotButton="0" quotePrefix="0" xfId="0"/>
    <xf numFmtId="0" fontId="0" fillId="11" borderId="38" pivotButton="0" quotePrefix="0" xfId="0"/>
    <xf numFmtId="0" fontId="0" fillId="11" borderId="7" pivotButton="0" quotePrefix="0" xfId="0"/>
    <xf numFmtId="0" fontId="4" fillId="10" borderId="44" pivotButton="0" quotePrefix="0" xfId="0"/>
    <xf numFmtId="0" fontId="4" fillId="5" borderId="44" pivotButton="0" quotePrefix="0" xfId="0"/>
    <xf numFmtId="0" fontId="4" fillId="11" borderId="44" pivotButton="0" quotePrefix="0" xfId="0"/>
    <xf numFmtId="0" fontId="27" fillId="2" borderId="45" pivotButton="0" quotePrefix="0" xfId="0"/>
    <xf numFmtId="0" fontId="0" fillId="2" borderId="46" pivotButton="0" quotePrefix="0" xfId="0"/>
    <xf numFmtId="0" fontId="27" fillId="2" borderId="34" pivotButton="0" quotePrefix="0" xfId="0"/>
    <xf numFmtId="0" fontId="4" fillId="2" borderId="47" pivotButton="0" quotePrefix="0" xfId="0"/>
    <xf numFmtId="0" fontId="27" fillId="2" borderId="48" pivotButton="0" quotePrefix="0" xfId="0"/>
    <xf numFmtId="0" fontId="4" fillId="2" borderId="49" pivotButton="0" quotePrefix="0" xfId="0"/>
    <xf numFmtId="0" fontId="0" fillId="0" borderId="44" pivotButton="0" quotePrefix="0" xfId="0"/>
    <xf numFmtId="0" fontId="4" fillId="0" borderId="21" pivotButton="0" quotePrefix="0" xfId="0"/>
    <xf numFmtId="0" fontId="0" fillId="8" borderId="27" pivotButton="0" quotePrefix="0" xfId="0"/>
    <xf numFmtId="0" fontId="0" fillId="0" borderId="50" applyAlignment="1" pivotButton="0" quotePrefix="0" xfId="0">
      <alignment horizontal="left" vertical="top" wrapText="1"/>
    </xf>
    <xf numFmtId="0" fontId="3" fillId="0" borderId="1" pivotButton="0" quotePrefix="0" xfId="0"/>
    <xf numFmtId="0" fontId="3" fillId="0" borderId="1" applyAlignment="1" pivotButton="0" quotePrefix="0" xfId="0">
      <alignment wrapText="1"/>
    </xf>
    <xf numFmtId="0" fontId="6" fillId="0" borderId="26" pivotButton="0" quotePrefix="0" xfId="3"/>
    <xf numFmtId="0" fontId="2" fillId="0" borderId="0" pivotButton="0" quotePrefix="0" xfId="0"/>
    <xf numFmtId="0" fontId="28" fillId="19" borderId="0" applyAlignment="1" pivotButton="0" quotePrefix="0" xfId="2">
      <alignment horizontal="center" vertical="center"/>
    </xf>
    <xf numFmtId="21" fontId="28" fillId="19" borderId="0" applyAlignment="1" pivotButton="0" quotePrefix="0" xfId="2">
      <alignment horizontal="center" vertical="center"/>
    </xf>
    <xf numFmtId="21" fontId="28" fillId="19" borderId="0" applyAlignment="1" pivotButton="0" quotePrefix="0" xfId="2">
      <alignment horizontal="center" vertical="center" wrapText="1"/>
    </xf>
    <xf numFmtId="0" fontId="29" fillId="19" borderId="0" applyAlignment="1" pivotButton="0" quotePrefix="0" xfId="2">
      <alignment horizontal="center" vertical="center"/>
    </xf>
    <xf numFmtId="0" fontId="31" fillId="0" borderId="0" applyAlignment="1" pivotButton="0" quotePrefix="0" xfId="2">
      <alignment horizontal="center" vertical="center" wrapText="1"/>
    </xf>
    <xf numFmtId="0" fontId="33" fillId="17" borderId="0" pivotButton="0" quotePrefix="0" xfId="2"/>
    <xf numFmtId="21" fontId="33" fillId="17" borderId="0" applyAlignment="1" pivotButton="0" quotePrefix="0" xfId="2">
      <alignment horizontal="center"/>
    </xf>
    <xf numFmtId="1" fontId="33" fillId="17" borderId="0" applyAlignment="1" pivotButton="0" quotePrefix="0" xfId="2">
      <alignment horizontal="center"/>
    </xf>
    <xf numFmtId="165" fontId="33" fillId="17" borderId="0" applyAlignment="1" pivotButton="0" quotePrefix="0" xfId="1">
      <alignment horizontal="center"/>
    </xf>
    <xf numFmtId="0" fontId="34" fillId="0" borderId="0" pivotButton="0" quotePrefix="0" xfId="0"/>
    <xf numFmtId="21" fontId="35" fillId="0" borderId="0" applyAlignment="1" pivotButton="0" quotePrefix="0" xfId="2">
      <alignment horizontal="center"/>
    </xf>
    <xf numFmtId="3" fontId="35" fillId="0" borderId="0" applyAlignment="1" pivotButton="0" quotePrefix="0" xfId="2">
      <alignment horizontal="center"/>
    </xf>
    <xf numFmtId="165" fontId="36" fillId="11" borderId="0" applyAlignment="1" pivotButton="0" quotePrefix="0" xfId="1">
      <alignment horizontal="center" wrapText="1"/>
    </xf>
    <xf numFmtId="165" fontId="36" fillId="0" borderId="0" applyAlignment="1" pivotButton="0" quotePrefix="0" xfId="1">
      <alignment horizontal="center" wrapText="1"/>
    </xf>
    <xf numFmtId="0" fontId="30" fillId="0" borderId="0" applyAlignment="1" pivotButton="0" quotePrefix="0" xfId="0">
      <alignment vertical="center"/>
    </xf>
    <xf numFmtId="0" fontId="36" fillId="0" borderId="0" applyAlignment="1" pivotButton="0" quotePrefix="0" xfId="0">
      <alignment horizontal="right" vertical="center" wrapText="1"/>
    </xf>
    <xf numFmtId="49" fontId="37" fillId="0" borderId="0" applyAlignment="1" pivotButton="0" quotePrefix="0" xfId="0">
      <alignment horizontal="left" vertical="top" wrapText="1"/>
    </xf>
    <xf numFmtId="0" fontId="30" fillId="0" borderId="0" pivotButton="0" quotePrefix="0" xfId="0"/>
    <xf numFmtId="3" fontId="35" fillId="0" borderId="0" applyAlignment="1" pivotButton="0" quotePrefix="0" xfId="2">
      <alignment horizontal="center" wrapText="1"/>
    </xf>
    <xf numFmtId="165" fontId="36" fillId="0" borderId="0" applyAlignment="1" pivotButton="0" quotePrefix="0" xfId="1">
      <alignment horizontal="center" vertical="center" wrapText="1"/>
    </xf>
    <xf numFmtId="0" fontId="2" fillId="0" borderId="0" applyAlignment="1" pivotButton="0" quotePrefix="0" xfId="0">
      <alignment horizontal="center"/>
    </xf>
    <xf numFmtId="46" fontId="33" fillId="17" borderId="0" applyAlignment="1" pivotButton="0" quotePrefix="0" xfId="2">
      <alignment horizontal="center"/>
    </xf>
    <xf numFmtId="0" fontId="33" fillId="17" borderId="0" applyAlignment="1" pivotButton="0" quotePrefix="0" xfId="2">
      <alignment horizontal="center"/>
    </xf>
    <xf numFmtId="21" fontId="2" fillId="0" borderId="0" applyAlignment="1" pivotButton="0" quotePrefix="0" xfId="0">
      <alignment horizontal="center"/>
    </xf>
    <xf numFmtId="3" fontId="33" fillId="0" borderId="0" applyAlignment="1" pivotButton="0" quotePrefix="0" xfId="2">
      <alignment horizontal="center"/>
    </xf>
    <xf numFmtId="21" fontId="38" fillId="20" borderId="22" applyAlignment="1" pivotButton="0" quotePrefix="0" xfId="0">
      <alignment horizontal="center"/>
    </xf>
    <xf numFmtId="21" fontId="38" fillId="20" borderId="0" applyAlignment="1" pivotButton="0" quotePrefix="0" xfId="0">
      <alignment horizontal="center"/>
    </xf>
    <xf numFmtId="0" fontId="39" fillId="0" borderId="0" pivotButton="0" quotePrefix="0" xfId="2"/>
    <xf numFmtId="0" fontId="36" fillId="0" borderId="0" applyAlignment="1" pivotButton="0" quotePrefix="0" xfId="0">
      <alignment vertical="top" wrapText="1"/>
    </xf>
    <xf numFmtId="0" fontId="6" fillId="21" borderId="2" pivotButton="0" quotePrefix="0" xfId="3"/>
    <xf numFmtId="0" fontId="6" fillId="15" borderId="26" pivotButton="0" quotePrefix="0" xfId="3"/>
    <xf numFmtId="0" fontId="6" fillId="15" borderId="13" pivotButton="0" quotePrefix="0" xfId="3"/>
    <xf numFmtId="0" fontId="6" fillId="15" borderId="8" pivotButton="0" quotePrefix="0" xfId="3"/>
    <xf numFmtId="0" fontId="41" fillId="0" borderId="0" pivotButton="0" quotePrefix="0" xfId="0"/>
    <xf numFmtId="0" fontId="3" fillId="0" borderId="23" applyAlignment="1" pivotButton="0" quotePrefix="0" xfId="0">
      <alignment wrapText="1"/>
    </xf>
    <xf numFmtId="0" fontId="8" fillId="0" borderId="23" applyAlignment="1" pivotButton="0" quotePrefix="0" xfId="0">
      <alignment wrapText="1"/>
    </xf>
    <xf numFmtId="0" fontId="4" fillId="0" borderId="51" applyAlignment="1" pivotButton="0" quotePrefix="0" xfId="0">
      <alignment horizontal="left" vertical="top" wrapText="1"/>
    </xf>
    <xf numFmtId="0" fontId="0" fillId="0" borderId="52" applyAlignment="1" pivotButton="0" quotePrefix="0" xfId="0">
      <alignment horizontal="left" vertical="top" wrapText="1"/>
    </xf>
    <xf numFmtId="0" fontId="4" fillId="10" borderId="26" applyAlignment="1" pivotButton="0" quotePrefix="0" xfId="0">
      <alignment vertical="top" wrapText="1"/>
    </xf>
    <xf numFmtId="0" fontId="6" fillId="0" borderId="26" applyAlignment="1" pivotButton="0" quotePrefix="0" xfId="3">
      <alignment horizontal="left" vertical="top" wrapText="1"/>
    </xf>
    <xf numFmtId="0" fontId="0" fillId="0" borderId="27" applyAlignment="1" pivotButton="0" quotePrefix="0" xfId="0">
      <alignment horizontal="center"/>
    </xf>
    <xf numFmtId="0" fontId="0" fillId="0" borderId="12" applyAlignment="1" pivotButton="0" quotePrefix="0" xfId="0">
      <alignment horizontal="left" vertical="top" wrapText="1"/>
    </xf>
    <xf numFmtId="0" fontId="0" fillId="0" borderId="54" applyAlignment="1" pivotButton="0" quotePrefix="0" xfId="0">
      <alignment horizontal="left" vertical="top" wrapText="1"/>
    </xf>
    <xf numFmtId="0" fontId="0" fillId="0" borderId="54" pivotButton="0" quotePrefix="0" xfId="0"/>
    <xf numFmtId="0" fontId="0" fillId="0" borderId="10" applyAlignment="1" pivotButton="0" quotePrefix="0" xfId="0">
      <alignment horizontal="left" vertical="top" wrapText="1"/>
    </xf>
    <xf numFmtId="0" fontId="0" fillId="0" borderId="33" applyAlignment="1" pivotButton="0" quotePrefix="0" xfId="0">
      <alignment horizontal="left" vertical="top" wrapText="1"/>
    </xf>
    <xf numFmtId="0" fontId="0" fillId="0" borderId="33" pivotButton="0" quotePrefix="0" xfId="0"/>
    <xf numFmtId="0" fontId="36" fillId="0" borderId="0" pivotButton="0" quotePrefix="0" xfId="2"/>
    <xf numFmtId="0" fontId="44" fillId="32" borderId="0" applyAlignment="1" pivotButton="0" quotePrefix="0" xfId="0">
      <alignment vertical="top" wrapText="1"/>
    </xf>
    <xf numFmtId="0" fontId="44" fillId="33" borderId="0" applyAlignment="1" pivotButton="0" quotePrefix="0" xfId="0">
      <alignment vertical="top" wrapText="1"/>
    </xf>
    <xf numFmtId="0" fontId="45" fillId="34" borderId="0" applyAlignment="1" pivotButton="0" quotePrefix="0" xfId="0">
      <alignment vertical="top" wrapText="1"/>
    </xf>
    <xf numFmtId="0" fontId="4" fillId="35" borderId="0" applyAlignment="1" pivotButton="0" quotePrefix="0" xfId="0">
      <alignment vertical="top" wrapText="1"/>
    </xf>
    <xf numFmtId="0" fontId="44" fillId="6" borderId="0" applyAlignment="1" pivotButton="0" quotePrefix="0" xfId="0">
      <alignment vertical="top" wrapText="1"/>
    </xf>
    <xf numFmtId="0" fontId="46" fillId="36" borderId="0" pivotButton="0" quotePrefix="0" xfId="0"/>
    <xf numFmtId="0" fontId="47" fillId="36" borderId="0" pivotButton="0" quotePrefix="0" xfId="0"/>
    <xf numFmtId="0" fontId="47" fillId="0" borderId="0" pivotButton="0" quotePrefix="0" xfId="0"/>
    <xf numFmtId="0" fontId="47" fillId="38" borderId="0" pivotButton="0" quotePrefix="0" xfId="0"/>
    <xf numFmtId="0" fontId="49" fillId="38" borderId="0" pivotButton="0" quotePrefix="0" xfId="0"/>
    <xf numFmtId="0" fontId="49" fillId="0" borderId="0" pivotButton="0" quotePrefix="0" xfId="0"/>
    <xf numFmtId="0" fontId="49" fillId="0" borderId="0" applyAlignment="1" pivotButton="0" quotePrefix="0" xfId="0">
      <alignment wrapText="1"/>
    </xf>
    <xf numFmtId="0" fontId="48" fillId="37" borderId="0" applyAlignment="1" pivotButton="0" quotePrefix="0" xfId="0">
      <alignment wrapText="1"/>
    </xf>
    <xf numFmtId="0" fontId="47" fillId="0" borderId="0" applyAlignment="1" pivotButton="0" quotePrefix="0" xfId="0">
      <alignment wrapText="1"/>
    </xf>
    <xf numFmtId="0" fontId="49" fillId="0" borderId="0" applyAlignment="1" pivotButton="0" quotePrefix="0" xfId="0">
      <alignment horizontal="center" vertical="center"/>
    </xf>
    <xf numFmtId="0" fontId="49" fillId="0" borderId="0" applyAlignment="1" pivotButton="0" quotePrefix="0" xfId="0">
      <alignment vertical="top" wrapText="1"/>
    </xf>
    <xf numFmtId="0" fontId="0" fillId="39" borderId="26" pivotButton="0" quotePrefix="0" xfId="0"/>
    <xf numFmtId="0" fontId="6" fillId="39" borderId="26" pivotButton="0" quotePrefix="0" xfId="3"/>
    <xf numFmtId="0" fontId="3" fillId="2" borderId="34" applyAlignment="1" pivotButton="0" quotePrefix="0" xfId="0">
      <alignment horizontal="center" vertical="center" wrapText="1"/>
    </xf>
    <xf numFmtId="166" fontId="18" fillId="10" borderId="2" applyAlignment="1" pivotButton="0" quotePrefix="0" xfId="0">
      <alignment horizontal="center"/>
    </xf>
    <xf numFmtId="166" fontId="18" fillId="10" borderId="11" applyAlignment="1" pivotButton="0" quotePrefix="0" xfId="0">
      <alignment horizontal="center"/>
    </xf>
    <xf numFmtId="166" fontId="18" fillId="10" borderId="27" applyAlignment="1" pivotButton="0" quotePrefix="0" xfId="0">
      <alignment horizontal="center"/>
    </xf>
    <xf numFmtId="166" fontId="18" fillId="10" borderId="10" applyAlignment="1" pivotButton="0" quotePrefix="0" xfId="0">
      <alignment horizontal="center"/>
    </xf>
    <xf numFmtId="0" fontId="6" fillId="2" borderId="2" applyAlignment="1" pivotButton="0" quotePrefix="0" xfId="3">
      <alignment horizontal="center"/>
    </xf>
    <xf numFmtId="0" fontId="0" fillId="2" borderId="2" applyAlignment="1" pivotButton="0" quotePrefix="0" xfId="0">
      <alignment horizontal="center"/>
    </xf>
    <xf numFmtId="0" fontId="4" fillId="3" borderId="38" applyAlignment="1" pivotButton="0" quotePrefix="0" xfId="0">
      <alignment horizontal="center"/>
    </xf>
    <xf numFmtId="0" fontId="0" fillId="5" borderId="2" applyAlignment="1" pivotButton="0" quotePrefix="0" xfId="0">
      <alignment horizontal="center"/>
    </xf>
    <xf numFmtId="0" fontId="4" fillId="3" borderId="0" applyAlignment="1" pivotButton="0" quotePrefix="0" xfId="0">
      <alignment horizontal="center"/>
    </xf>
    <xf numFmtId="3" fontId="35" fillId="0" borderId="0" applyAlignment="1" pivotButton="0" quotePrefix="0" xfId="2">
      <alignment horizontal="center"/>
    </xf>
    <xf numFmtId="0" fontId="32" fillId="0" borderId="0" applyAlignment="1" pivotButton="0" quotePrefix="0" xfId="3">
      <alignment horizontal="left"/>
    </xf>
    <xf numFmtId="0" fontId="4" fillId="10" borderId="0" applyAlignment="1" pivotButton="0" quotePrefix="0" xfId="0">
      <alignment horizontal="center" vertical="center" wrapText="1"/>
    </xf>
    <xf numFmtId="0" fontId="0"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vertical="center"/>
    </xf>
    <xf numFmtId="21" fontId="1" fillId="0" borderId="0" applyAlignment="1" pivotButton="0" quotePrefix="0" xfId="0">
      <alignment horizontal="center"/>
    </xf>
    <xf numFmtId="0" fontId="1" fillId="0" borderId="0" applyAlignment="1" pivotButton="0" quotePrefix="0" xfId="0">
      <alignment horizontal="center"/>
    </xf>
    <xf numFmtId="3" fontId="1" fillId="0" borderId="0" applyAlignment="1" pivotButton="0" quotePrefix="0" xfId="0">
      <alignment vertical="center"/>
    </xf>
    <xf numFmtId="0" fontId="1" fillId="0" borderId="52" applyAlignment="1" pivotButton="0" quotePrefix="0" xfId="0">
      <alignment horizontal="left" vertical="top" wrapText="1"/>
    </xf>
    <xf numFmtId="0" fontId="1" fillId="0" borderId="53" applyAlignment="1" pivotButton="0" quotePrefix="0" xfId="0">
      <alignment horizontal="left" vertical="top" wrapText="1"/>
    </xf>
    <xf numFmtId="0" fontId="0" fillId="0" borderId="27" pivotButton="0" quotePrefix="0" xfId="0"/>
    <xf numFmtId="166" fontId="18" fillId="10" borderId="2" applyAlignment="1" pivotButton="0" quotePrefix="0" xfId="0">
      <alignment horizontal="center"/>
    </xf>
    <xf numFmtId="166" fontId="0" fillId="4" borderId="0" pivotButton="0" quotePrefix="0" xfId="0"/>
    <xf numFmtId="0" fontId="0" fillId="0" borderId="38" pivotButton="0" quotePrefix="0" xfId="0"/>
    <xf numFmtId="0" fontId="0" fillId="0" borderId="34" pivotButton="0" quotePrefix="0" xfId="0"/>
    <xf numFmtId="165" fontId="33" fillId="17" borderId="0" applyAlignment="1" pivotButton="0" quotePrefix="0" xfId="1">
      <alignment horizontal="center"/>
    </xf>
    <xf numFmtId="165" fontId="36" fillId="11" borderId="0" applyAlignment="1" pivotButton="0" quotePrefix="0" xfId="1">
      <alignment horizontal="center" wrapText="1"/>
    </xf>
    <xf numFmtId="165" fontId="36" fillId="0" borderId="0" applyAlignment="1" pivotButton="0" quotePrefix="0" xfId="1">
      <alignment horizontal="center" wrapText="1"/>
    </xf>
    <xf numFmtId="165" fontId="36" fillId="0" borderId="0" applyAlignment="1" pivotButton="0" quotePrefix="0" xfId="1">
      <alignment horizontal="center" vertical="center" wrapText="1"/>
    </xf>
    <xf numFmtId="164" fontId="0" fillId="12" borderId="19" applyAlignment="1" pivotButton="0" quotePrefix="0" xfId="0">
      <alignment horizontal="center" vertical="center"/>
    </xf>
    <xf numFmtId="164" fontId="0" fillId="5" borderId="15" applyAlignment="1" pivotButton="0" quotePrefix="0" xfId="0">
      <alignment horizontal="left"/>
    </xf>
    <xf numFmtId="164" fontId="0" fillId="5" borderId="0" applyAlignment="1" pivotButton="0" quotePrefix="0" xfId="0">
      <alignment horizontal="left"/>
    </xf>
    <xf numFmtId="164" fontId="6" fillId="5" borderId="0" applyAlignment="1" pivotButton="0" quotePrefix="0" xfId="3">
      <alignment horizontal="left"/>
    </xf>
    <xf numFmtId="164" fontId="0" fillId="15" borderId="15" applyAlignment="1" pivotButton="0" quotePrefix="0" xfId="0">
      <alignment horizontal="left"/>
    </xf>
    <xf numFmtId="164" fontId="0" fillId="15" borderId="0" applyAlignment="1" pivotButton="0" quotePrefix="0" xfId="0">
      <alignment horizontal="left"/>
    </xf>
    <xf numFmtId="164" fontId="0" fillId="21" borderId="15" applyAlignment="1" pivotButton="0" quotePrefix="0" xfId="0">
      <alignment horizontal="left"/>
    </xf>
    <xf numFmtId="164" fontId="0" fillId="21" borderId="0" applyAlignment="1" pivotButton="0" quotePrefix="0" xfId="0">
      <alignment horizontal="left"/>
    </xf>
    <xf numFmtId="164" fontId="13" fillId="12" borderId="19" applyAlignment="1" pivotButton="0" quotePrefix="0" xfId="0">
      <alignment horizontal="center" vertical="center"/>
    </xf>
    <xf numFmtId="0" fontId="0" fillId="40" borderId="0" applyAlignment="1" pivotButton="0" quotePrefix="0" xfId="0">
      <alignment vertical="top" wrapText="1"/>
    </xf>
    <xf numFmtId="165" fontId="16" fillId="0" borderId="0" applyAlignment="1" pivotButton="0" quotePrefix="0" xfId="1">
      <alignment horizontal="center" wrapText="1"/>
    </xf>
  </cellXfs>
  <cellStyles count="4">
    <cellStyle name="Normal" xfId="0" builtinId="0"/>
    <cellStyle name="Comma" xfId="1" builtinId="3"/>
    <cellStyle name="Standard 2" xfId="2"/>
    <cellStyle name="Hyperlink" xfId="3"/>
  </cellStyles>
  <dxfs count="102">
    <dxf>
      <fill>
        <patternFill patternType="solid">
          <fgColor indexed="64"/>
          <bgColor rgb="FFD9E1F2"/>
        </patternFill>
      </fill>
      <border outline="0">
        <left/>
        <right style="thin">
          <color indexed="64"/>
        </right>
        <top style="thin">
          <color indexed="64"/>
        </top>
        <bottom style="thin">
          <color indexed="64"/>
        </bottom>
      </border>
    </dxf>
    <dxf>
      <font>
        <b val="1"/>
      </font>
      <fill>
        <patternFill patternType="solid">
          <fgColor indexed="64"/>
          <bgColor theme="7" tint="0.7999816888943144"/>
        </patternFill>
      </fill>
      <alignment horizontal="general" vertical="top" wrapText="1"/>
      <border outline="0">
        <left style="thin">
          <color indexed="64"/>
        </left>
        <right style="thin">
          <color indexed="64"/>
        </right>
        <top style="thin">
          <color indexed="64"/>
        </top>
        <bottom style="thin">
          <color indexed="64"/>
        </bottom>
      </border>
    </dxf>
    <dxf>
      <alignment horizontal="left" vertical="top" wrapText="1"/>
      <border outline="0">
        <left style="thin">
          <color indexed="64"/>
        </left>
        <right/>
        <top style="thin">
          <color indexed="64"/>
        </top>
        <bottom style="thin">
          <color indexed="64"/>
        </bottom>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vertical style="thin">
          <color indexed="64"/>
        </vertical>
        <horizontal style="thin">
          <color indexed="64"/>
        </horizontal>
      </border>
    </dxf>
    <dxf>
      <fill>
        <patternFill patternType="solid">
          <fgColor indexed="64"/>
          <bgColor theme="4" tint="0.7999816888943144"/>
        </patternFill>
      </fill>
      <border outline="0">
        <left style="thin">
          <color indexed="64"/>
        </left>
        <right/>
        <top style="thin">
          <color indexed="64"/>
        </top>
        <bottom style="thin">
          <color indexed="64"/>
        </bottom>
      </border>
    </dxf>
    <dxf>
      <alignment horizontal="left" vertical="top" wrapText="1"/>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vertical style="thin">
          <color indexed="64"/>
        </vertical>
        <horizontal style="thin">
          <color indexed="64"/>
        </horizontal>
      </border>
    </dxf>
    <dxf>
      <fill>
        <patternFill patternType="solid">
          <fgColor indexed="64"/>
          <bgColor theme="4" tint="0.7999816888943144"/>
        </patternFill>
      </fill>
      <border>
        <left style="thin">
          <color indexed="64"/>
        </left>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font>
        <b val="1"/>
      </font>
      <fill>
        <patternFill patternType="solid">
          <fgColor indexed="64"/>
          <bgColor theme="7" tint="0.7999816888943144"/>
        </patternFill>
      </fill>
      <alignment horizontal="general"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vertical style="thin">
          <color indexed="64"/>
        </vertical>
        <horizontal style="thin">
          <color indexed="64"/>
        </horizontal>
      </border>
    </dxf>
    <dxf>
      <fill>
        <patternFill patternType="solid">
          <fgColor indexed="64"/>
          <bgColor theme="0" tint="-0.0499893185216834"/>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tint="-0.0499893185216834"/>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tint="-0.0499893185216834"/>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tint="-0.0499893185216834"/>
        </patternFill>
      </fill>
    </dxf>
    <dxf>
      <fill>
        <patternFill>
          <fgColor indexed="64"/>
          <bgColor indexed="65"/>
        </patternFill>
      </fill>
      <alignment horizontal="general" vertical="bottom"/>
      <border outline="0">
        <left style="thin">
          <color rgb="FFAEAAAA"/>
        </left>
        <right/>
        <top style="thin">
          <color rgb="FFAEAAAA"/>
        </top>
        <bottom style="thin">
          <color rgb="FFAEAAAA"/>
        </bottom>
      </border>
    </dxf>
    <dxf>
      <fill>
        <patternFill patternType="solid">
          <fgColor indexed="64"/>
          <bgColor theme="4" tint="0.7999816888943144"/>
        </patternFill>
      </fill>
      <alignment horizontal="general" vertical="bottom" wrapText="1"/>
      <border>
        <left style="thin">
          <color rgb="FFAEAAAA"/>
        </left>
        <right/>
        <top style="thin">
          <color rgb="FFAEAAAA"/>
        </top>
        <bottom style="thin">
          <color rgb="FFAEAAAA"/>
        </bottom>
        <vertical/>
        <horizontal/>
      </border>
    </dxf>
    <dxf>
      <fill>
        <patternFill patternType="solid">
          <fgColor indexed="64"/>
          <bgColor theme="4" tint="0.7999816888943144"/>
        </patternFill>
      </fill>
      <alignment horizontal="general" vertical="bottom" wrapText="1"/>
      <border outline="0">
        <left style="thin">
          <color rgb="FFAEAAAA"/>
        </left>
        <right style="thin">
          <color rgb="FFAEAAAA"/>
        </right>
        <top style="thin">
          <color rgb="FFAEAAAA"/>
        </top>
        <bottom style="thin">
          <color rgb="FFAEAAAA"/>
        </bottom>
      </border>
    </dxf>
    <dxf>
      <border outline="0">
        <right style="thin">
          <color rgb="FFAEAAAA"/>
        </right>
      </border>
    </dxf>
    <dxf>
      <fill>
        <patternFill>
          <fgColor indexed="64"/>
          <bgColor indexed="65"/>
        </patternFill>
      </fill>
      <alignment horizontal="general" vertical="top"/>
      <border>
        <left style="thin">
          <color rgb="FFAEAAAA"/>
        </left>
        <right style="thin">
          <color rgb="FFAEAAAA"/>
        </right>
        <top style="thin">
          <color rgb="FFAEAAAA"/>
        </top>
        <bottom style="thin">
          <color rgb="FFAEAAAA"/>
        </bottom>
        <vertical/>
        <horizontal/>
      </border>
    </dxf>
    <dxf>
      <border outline="0">
        <bottom style="thin">
          <color rgb="FFAEAAAA"/>
        </bottom>
      </border>
    </dxf>
    <dxf>
      <border outline="0">
        <left style="thin">
          <color rgb="FFAEAAAA"/>
        </left>
        <right style="thin">
          <color rgb="FFAEAAAA"/>
        </right>
        <top style="thin">
          <color rgb="FFAEAAAA"/>
        </top>
        <bottom style="thin">
          <color rgb="FFAEAAAA"/>
        </bottom>
      </border>
    </dxf>
    <dxf>
      <font>
        <name val="Calibri"/>
        <family val="2"/>
        <b val="1"/>
        <strike val="0"/>
        <outline val="0"/>
        <shadow val="0"/>
        <condense val="0"/>
        <color theme="1"/>
        <extend val="0"/>
        <sz val="11"/>
        <vertAlign val="baseline"/>
        <scheme val="minor"/>
      </font>
      <fill>
        <patternFill>
          <fgColor indexed="64"/>
          <bgColor indexed="65"/>
        </patternFill>
      </fill>
      <alignment horizontal="general" vertical="top" wrapText="1"/>
      <border outline="0">
        <left style="thin">
          <color rgb="FFAEAAAA"/>
        </left>
        <right style="thin">
          <color rgb="FFAEAAAA"/>
        </right>
        <top/>
        <bottom/>
      </border>
    </dxf>
    <dxf>
      <alignment horizontal="general" vertical="bottom" wrapText="1"/>
    </dxf>
    <dxf>
      <alignment horizontal="general" vertical="bottom" wrapText="1"/>
    </dxf>
    <dxf>
      <alignment horizontal="general" vertical="bottom" wrapText="1"/>
    </dxf>
    <dxf>
      <alignment horizontal="general" vertical="bottom"/>
    </dxf>
    <dxf>
      <numFmt numFmtId="0" formatCode="General"/>
      <alignment horizontal="general" vertical="bottom"/>
    </dxf>
    <dxf>
      <alignment horizontal="general" vertical="bottom" wrapText="1"/>
      <border>
        <left/>
        <right/>
        <top style="thin">
          <color theme="1"/>
        </top>
        <bottom style="thin">
          <color theme="1"/>
        </bottom>
        <vertical/>
        <horizontal/>
      </border>
    </dxf>
    <dxf>
      <font>
        <b val="1"/>
      </font>
      <fill>
        <patternFill patternType="solid">
          <fgColor theme="0" tint="-0.1499984740745262"/>
          <bgColor theme="0" tint="-0.1499984740745262"/>
        </patternFill>
      </fill>
      <alignment horizontal="center" vertical="center"/>
      <border>
        <left style="thin">
          <color theme="1"/>
        </left>
        <right/>
        <top style="thin">
          <color theme="1"/>
        </top>
        <bottom style="thin">
          <color theme="1"/>
        </bottom>
        <vertical/>
        <horizontal/>
      </border>
    </dxf>
    <dxf>
      <alignment horizontal="general" vertical="bottom"/>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outline="0">
        <left/>
        <right style="thin">
          <color indexed="64"/>
        </right>
        <top style="thin">
          <color indexed="64"/>
        </top>
        <bottom style="thin">
          <color indexed="64"/>
        </bottom>
      </border>
    </dxf>
    <dxf>
      <numFmt numFmtId="165" formatCode="[$-C09]dddd\,\ d\ mmmm\ yyyy;@"/>
      <alignment horizontal="left" vertical="bottom"/>
    </dxf>
    <dxf>
      <numFmt numFmtId="165" formatCode="[$-C09]dddd\,\ d\ mmmm\ yyyy;@"/>
      <alignment horizontal="left"/>
      <border>
        <left/>
        <right/>
        <top style="thin">
          <color theme="1"/>
        </top>
        <bottom/>
      </border>
    </dxf>
    <dxf>
      <alignment horizontal="center"/>
      <border outline="0">
        <left/>
        <right/>
        <top style="thin">
          <color theme="1"/>
        </top>
        <bottom/>
      </border>
    </dxf>
    <dxf>
      <fill>
        <patternFill>
          <fgColor indexed="64"/>
          <bgColor indexed="65"/>
        </patternFill>
      </fill>
      <border>
        <left/>
        <right/>
        <top style="thin">
          <color theme="1"/>
        </top>
        <bottom/>
        <vertical/>
        <horizontal/>
      </border>
    </dxf>
    <dxf>
      <fill>
        <patternFill>
          <fgColor indexed="64"/>
          <bgColor indexed="65"/>
        </patternFill>
      </fill>
      <alignment horizontal="center" vertical="bottom"/>
      <border>
        <left/>
        <right/>
        <top style="thin">
          <color theme="1"/>
        </top>
        <bottom/>
        <vertical/>
        <horizontal/>
      </border>
    </dxf>
    <dxf>
      <alignment horizontal="center" vertical="bottom"/>
      <border>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font>
        <name val="Calibri"/>
        <family val="2"/>
        <b val="1"/>
        <strike val="0"/>
        <outline val="0"/>
        <shadow val="0"/>
        <condense val="0"/>
        <color theme="0"/>
        <extend val="0"/>
        <sz val="11"/>
        <vertAlign val="baseline"/>
        <scheme val="minor"/>
      </font>
      <fill>
        <patternFill patternType="solid">
          <fgColor indexed="64"/>
          <bgColor theme="1"/>
        </patternFill>
      </fill>
      <alignment horizontal="general" vertical="center" wrapText="1"/>
      <border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7999816888943144"/>
        </patternFill>
      </fill>
    </dxf>
    <dxf>
      <fill>
        <patternFill>
          <bgColor theme="8" tint="0.7999816888943144"/>
        </patternFill>
      </fill>
    </dxf>
    <dxf>
      <fill>
        <gradientFill type="linear">
          <stop position="0">
            <color theme="9" tint="0.8000122074037904"/>
          </stop>
          <stop position="1">
            <color theme="8" tint="0.8000122074037904"/>
          </stop>
        </gradientFill>
      </fill>
    </dxf>
    <dxf>
      <fill>
        <patternFill>
          <bgColor theme="7" tint="0.7999816888943144"/>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able85" displayName="Table85" ref="B4:H31" headerRowCount="1" totalsRowShown="0" headerRowDxfId="61" headerRowBorderDxfId="59" tableBorderDxfId="60">
  <autoFilter ref="B4:H31"/>
  <sortState ref="B5:H31">
    <sortCondition ref="B4:B31"/>
  </sortState>
  <tableColumns count="7">
    <tableColumn id="1" name="#" dataDxfId="58"/>
    <tableColumn id="11" name="Category" dataDxfId="57"/>
    <tableColumn id="13" name="Email name (AC)" dataDxfId="56"/>
    <tableColumn id="2" name="Countdown  (T-X)" dataDxfId="55"/>
    <tableColumn id="12" name="Date" dataDxfId="54">
      <calculatedColumnFormula>$F$3+Table85[[#This Row],[Countdown  (T-X)]]</calculatedColumnFormula>
    </tableColumn>
    <tableColumn id="3" name="Video Link _x000a_(if applicable)" dataDxfId="53"/>
    <tableColumn id="5" name="Active Campain Link (Blueprint)" dataDxfId="52"/>
  </tableColumns>
  <tableStyleInfo name="TableStyleMedium1" showFirstColumn="0" showLastColumn="0" showRowStripes="1" showColumnStripes="0"/>
</table>
</file>

<file path=xl/tables/table2.xml><?xml version="1.0" encoding="utf-8"?>
<table xmlns="http://schemas.openxmlformats.org/spreadsheetml/2006/main" id="2" name="Table114" displayName="Table114" ref="B4:H36" headerRowCount="1" totalsRowShown="0" dataDxfId="43">
  <autoFilter ref="B4:H36"/>
  <tableColumns count="7">
    <tableColumn id="1" name="page #" dataDxfId="42"/>
    <tableColumn id="2" name="website intern/slug" dataDxfId="41"/>
    <tableColumn id="6" name="URL" dataDxfId="40">
      <calculatedColumnFormula>$C$3&amp;Table114[[#This Row],[website intern/slug]]</calculatedColumnFormula>
    </tableColumn>
    <tableColumn id="7" name="Link Video File - Template" dataDxfId="39"/>
    <tableColumn id="8" name="Link Video File - Actual" dataDxfId="38"/>
    <tableColumn id="9" name="Intern Notes" dataDxfId="37"/>
    <tableColumn id="10" name="YOAST SEO PAGETITEL" dataDxfId="36"/>
  </tableColumns>
  <tableStyleInfo name="TableStyleMedium1" showFirstColumn="0" showLastColumn="0" showRowStripes="1" showColumnStripes="0"/>
</table>
</file>

<file path=xl/tables/table3.xml><?xml version="1.0" encoding="utf-8"?>
<table xmlns="http://schemas.openxmlformats.org/spreadsheetml/2006/main" id="3" name="Table2" displayName="Table2" ref="B2:F34" headerRowCount="1" totalsRowShown="0" headerRowDxfId="35" headerRowBorderDxfId="33" tableBorderDxfId="34">
  <autoFilter ref="B2:F34"/>
  <tableColumns count="5">
    <tableColumn id="3" name="Subcategory" dataDxfId="32"/>
    <tableColumn id="4" name="Original language" dataDxfId="31"/>
    <tableColumn id="5" name="Translated Language" dataDxfId="30"/>
    <tableColumn id="7" name="Sidenote" dataDxfId="29"/>
    <tableColumn id="6" name="BP Folder Location" dataDxfId="28"/>
  </tableColumns>
  <tableStyleInfo name="TableStyleLight8" showFirstColumn="0" showLastColumn="0" showRowStripes="1" showColumnStripes="0"/>
</table>
</file>

<file path=xl/tables/table4.xml><?xml version="1.0" encoding="utf-8"?>
<table xmlns="http://schemas.openxmlformats.org/spreadsheetml/2006/main" id="4" name="Table215" displayName="Table215" ref="B38:D44" headerRowCount="1" totalsRowShown="0" dataDxfId="27">
  <autoFilter ref="B38:D44"/>
  <tableColumns count="3">
    <tableColumn id="1" name="Category" dataDxfId="26"/>
    <tableColumn id="2" name="Link in Canva" dataDxfId="25"/>
    <tableColumn id="3" name="Notes" dataDxfId="24"/>
  </tableColumns>
  <tableStyleInfo name="TableStyleLight8" showFirstColumn="0" showLastColumn="0" showRowStripes="1" showColumnStripes="0"/>
</table>
</file>

<file path=xl/tables/table5.xml><?xml version="1.0" encoding="utf-8"?>
<table xmlns="http://schemas.openxmlformats.org/spreadsheetml/2006/main" id="5" name="Table516" displayName="Table516" ref="B3:F13" headerRowCount="1" totalsRowShown="0" headerRowDxfId="23" headerRowBorderDxfId="21" tableBorderDxfId="22" totalsRowBorderDxfId="20">
  <autoFilter ref="B3:F13"/>
  <tableColumns count="5">
    <tableColumn id="1" name="Number" dataDxfId="19"/>
    <tableColumn id="2" name="Snippets Downloadlinks:" dataDxfId="18" dataCellStyle="Hyperlink"/>
    <tableColumn id="3" name="Snippet Name in Dropbox" dataDxfId="17"/>
    <tableColumn id="5" name="Text Overlay (original)" dataDxfId="16"/>
    <tableColumn id="6" name="Text Overlay (translated)" dataDxfId="15"/>
  </tableColumns>
  <tableStyleInfo name="TableStyleLight8" showFirstColumn="0" showLastColumn="0" showRowStripes="1" showColumnStripes="0"/>
</table>
</file>

<file path=xl/tables/table6.xml><?xml version="1.0" encoding="utf-8"?>
<table xmlns="http://schemas.openxmlformats.org/spreadsheetml/2006/main" id="6" name="Table6" displayName="Table6" ref="B10:E11" headerRowCount="1" totalsRowShown="0" headerRowDxfId="14" headerRowBorderDxfId="12" tableBorderDxfId="13" totalsRowBorderDxfId="11">
  <autoFilter ref="B10:E11"/>
  <tableColumns count="4">
    <tableColumn id="1" name="Number:" dataDxfId="10"/>
    <tableColumn id="2" name="Call to Action (original)" dataDxfId="9"/>
    <tableColumn id="3" name="Call to Action (translated)" dataDxfId="8"/>
    <tableColumn id="4" name="Spalte1"/>
  </tableColumns>
  <tableStyleInfo name="TableStyleLight8" showFirstColumn="0" showLastColumn="0" showRowStripes="1" showColumnStripes="0"/>
</table>
</file>

<file path=xl/tables/table7.xml><?xml version="1.0" encoding="utf-8"?>
<table xmlns="http://schemas.openxmlformats.org/spreadsheetml/2006/main" id="7" name="Table5" displayName="Table5" ref="B3:E8" headerRowCount="1" totalsRowShown="0" headerRowDxfId="7" headerRowBorderDxfId="5" tableBorderDxfId="6" totalsRowBorderDxfId="4">
  <autoFilter ref="B3:E8"/>
  <tableColumns count="4">
    <tableColumn id="1" name="Number:" dataDxfId="3"/>
    <tableColumn id="2" name="Snippets Downloadlinks:" dataDxfId="2" dataCellStyle="Hyperlink"/>
    <tableColumn id="3" name="Snippet Title (original)" dataDxfId="1"/>
    <tableColumn id="4" name="Snippet Title (translate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flowsummitespanol.com/" TargetMode="External" Id="rId1" /></Relationships>
</file>

<file path=xl/worksheets/_rels/sheet2.xml.rels><Relationships xmlns="http://schemas.openxmlformats.org/package/2006/relationships"><Relationship Type="http://schemas.openxmlformats.org/officeDocument/2006/relationships/hyperlink" Target="https://www.dropbox.com/scl/fo/qiriyisbn5hfqrasgzzfs/AJVaQ9yLnjZcedu2kie6qMw?rlkey=fesyfl3tynhwz2ac2t4uos21x&amp;st=vdb8u24z&amp;dl=0" TargetMode="External" Id="rId1" /></Relationships>
</file>

<file path=xl/worksheets/_rels/sheet3.xml.rels><Relationships xmlns="http://schemas.openxmlformats.org/package/2006/relationships"><Relationship Type="http://schemas.openxmlformats.org/officeDocument/2006/relationships/hyperlink" Target="https://psionline.activehosted.com/series/23608" TargetMode="External" Id="rId1" /><Relationship Type="http://schemas.openxmlformats.org/officeDocument/2006/relationships/hyperlink" Target="https://psionline.activehosted.com/series/23608" TargetMode="External" Id="rId2" /><Relationship Type="http://schemas.openxmlformats.org/officeDocument/2006/relationships/hyperlink" Target="https://psionline.activehosted.com/series/23608" TargetMode="External" Id="rId3" /><Relationship Type="http://schemas.openxmlformats.org/officeDocument/2006/relationships/hyperlink" Target="https://psionline.activehosted.com/series/23608" TargetMode="External" Id="rId4" /><Relationship Type="http://schemas.openxmlformats.org/officeDocument/2006/relationships/hyperlink" Target="https://psionline.activehosted.com/series/23608" TargetMode="External" Id="rId5" /><Relationship Type="http://schemas.openxmlformats.org/officeDocument/2006/relationships/hyperlink" Target="https://psionline.activehosted.com/series/23610" TargetMode="External" Id="rId6" /><Relationship Type="http://schemas.openxmlformats.org/officeDocument/2006/relationships/hyperlink" Target="https://psionline.activehosted.com/series/23610" TargetMode="External" Id="rId7" /><Relationship Type="http://schemas.openxmlformats.org/officeDocument/2006/relationships/hyperlink" Target="https://psionline.activehosted.com/series/23610" TargetMode="External" Id="rId8" /><Relationship Type="http://schemas.openxmlformats.org/officeDocument/2006/relationships/hyperlink" Target="https://psionline.activehosted.com/series/23609" TargetMode="External" Id="rId9" /><Relationship Type="http://schemas.openxmlformats.org/officeDocument/2006/relationships/hyperlink" Target="https://psionline.activehosted.com/series/23609" TargetMode="External" Id="rId10" /><Relationship Type="http://schemas.openxmlformats.org/officeDocument/2006/relationships/hyperlink" Target="https://psionline.activehosted.com/series/23609" TargetMode="External" Id="rId11" /><Relationship Type="http://schemas.openxmlformats.org/officeDocument/2006/relationships/hyperlink" Target="https://psionline.activehosted.com/series/23609" TargetMode="External" Id="rId12" /><Relationship Type="http://schemas.openxmlformats.org/officeDocument/2006/relationships/hyperlink" Target="https://psionline.activehosted.com/series/23609" TargetMode="External" Id="rId13" /><Relationship Type="http://schemas.openxmlformats.org/officeDocument/2006/relationships/hyperlink" Target="https://psionline.activehosted.com/series/23609" TargetMode="External" Id="rId14" /><Relationship Type="http://schemas.openxmlformats.org/officeDocument/2006/relationships/hyperlink" Target="https://psionline.activehosted.com/series/23609" TargetMode="External" Id="rId15" /><Relationship Type="http://schemas.openxmlformats.org/officeDocument/2006/relationships/hyperlink" Target="https://psionline.activehosted.com/series/23609" TargetMode="External" Id="rId16" /><Relationship Type="http://schemas.openxmlformats.org/officeDocument/2006/relationships/hyperlink" Target="https://psionline.activehosted.com/series/23609" TargetMode="External" Id="rId17" /><Relationship Type="http://schemas.openxmlformats.org/officeDocument/2006/relationships/hyperlink" Target="https://psionline.activehosted.com/series/23609" TargetMode="External" Id="rId18" /><Relationship Type="http://schemas.openxmlformats.org/officeDocument/2006/relationships/hyperlink" Target="https://psionline.activehosted.com/series/23609" TargetMode="External" Id="rId19" /><Relationship Type="http://schemas.openxmlformats.org/officeDocument/2006/relationships/hyperlink" Target="https://psionline.activehosted.com/series/23609" TargetMode="External" Id="rId20" /><Relationship Type="http://schemas.openxmlformats.org/officeDocument/2006/relationships/hyperlink" Target="https://psionline.activehosted.com/series/23609" TargetMode="External" Id="rId21" /><Relationship Type="http://schemas.openxmlformats.org/officeDocument/2006/relationships/hyperlink" Target="https://psionline.activehosted.com/series/23609" TargetMode="External" Id="rId22" /><Relationship Type="http://schemas.openxmlformats.org/officeDocument/2006/relationships/hyperlink" Target="https://psionline.activehosted.com/series/23609" TargetMode="External" Id="rId23" /><Relationship Type="http://schemas.openxmlformats.org/officeDocument/2006/relationships/hyperlink" Target="https://psionline.activehosted.com/series/23609" TargetMode="External" Id="rId24" /><Relationship Type="http://schemas.openxmlformats.org/officeDocument/2006/relationships/hyperlink" Target="https://psionline.activehosted.com/series/23609" TargetMode="External" Id="rId25" /><Relationship Type="http://schemas.openxmlformats.org/officeDocument/2006/relationships/hyperlink" Target="https://psionline.activehosted.com/series/23609" TargetMode="External" Id="rId26" /><Relationship Type="http://schemas.openxmlformats.org/officeDocument/2006/relationships/hyperlink" Target="https://psionline.activehosted.com/series/23612" TargetMode="External" Id="rId27" /><Relationship Type="http://schemas.openxmlformats.org/officeDocument/2006/relationships/table" Target="/xl/tables/table1.xml" Id="rId28" /></Relationships>
</file>

<file path=xl/worksheets/_rels/sheet4.xml.rels><Relationships xmlns="http://schemas.openxmlformats.org/package/2006/relationships"><Relationship Type="http://schemas.openxmlformats.org/officeDocument/2006/relationships/hyperlink" Target="https://www.flowsummitespanol.com/" TargetMode="External" Id="rId1" /><Relationship Type="http://schemas.openxmlformats.org/officeDocument/2006/relationships/hyperlink" Target="https://greggbradenromania.com/" TargetMode="External" Id="rId2" /><Relationship Type="http://schemas.openxmlformats.org/officeDocument/2006/relationships/table" Target="/xl/tables/table2.xml" Id="rId3" /></Relationships>
</file>

<file path=xl/worksheets/_rels/sheet5.xml.rels><Relationships xmlns="http://schemas.openxmlformats.org/package/2006/relationships"><Relationship Type="http://schemas.openxmlformats.org/officeDocument/2006/relationships/hyperlink" Target="https://www.canva.com/folder/FAHDknipACE" TargetMode="External" Id="rId1" /><Relationship Type="http://schemas.openxmlformats.org/officeDocument/2006/relationships/hyperlink" Target="https://www.canva.com/folder/FAHDj9YEcQs" TargetMode="External" Id="rId2" /><Relationship Type="http://schemas.openxmlformats.org/officeDocument/2006/relationships/hyperlink" Target="https://www.canva.com/folder/FAHDpv62w_o" TargetMode="External" Id="rId3" /><Relationship Type="http://schemas.openxmlformats.org/officeDocument/2006/relationships/table" Target="/xl/tables/table3.xml" Id="rId4" /><Relationship Type="http://schemas.openxmlformats.org/officeDocument/2006/relationships/table" Target="/xl/tables/table4.xml" Id="rId5"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s>
</file>

<file path=xl/worksheets/_rels/sheet10.xml.rels><Relationships xmlns="http://schemas.openxmlformats.org/package/2006/relationships"><Relationship Type="http://schemas.openxmlformats.org/officeDocument/2006/relationships/hyperlink" Target="https://www.flowsummitespanol.com/" TargetMode="External" Id="rId1" /></Relationships>
</file>

<file path=xl/worksheets/sheet1.xml><?xml version="1.0" encoding="utf-8"?>
<worksheet xmlns="http://schemas.openxmlformats.org/spreadsheetml/2006/main">
  <sheetPr>
    <tabColor theme="1"/>
    <outlinePr summaryBelow="1" summaryRight="1"/>
    <pageSetUpPr/>
  </sheetPr>
  <dimension ref="B1:J29"/>
  <sheetViews>
    <sheetView showGridLines="0" topLeftCell="A4" zoomScale="85" zoomScaleNormal="85" workbookViewId="0">
      <selection activeCell="C13" sqref="C13:F13"/>
    </sheetView>
  </sheetViews>
  <sheetFormatPr baseColWidth="8" defaultColWidth="8.85546875" defaultRowHeight="15"/>
  <cols>
    <col width="8.85546875" customWidth="1" style="6" min="1" max="1"/>
    <col width="70.5703125" customWidth="1" style="6" min="2" max="2"/>
    <col width="15.28515625" customWidth="1" style="6" min="3" max="3"/>
    <col width="20.85546875" customWidth="1" style="6" min="4" max="4"/>
    <col width="20.42578125" customWidth="1" style="6" min="5" max="5"/>
    <col width="8.85546875" customWidth="1" style="6" min="6" max="10"/>
    <col width="8" customWidth="1" style="6" min="11" max="11"/>
    <col width="8.5703125" customWidth="1" style="6" min="12" max="12"/>
    <col width="8.85546875" customWidth="1" style="6" min="13" max="16384"/>
  </cols>
  <sheetData>
    <row r="1">
      <c r="C1" s="259" t="inlineStr">
        <is>
          <t>Original language</t>
        </is>
      </c>
      <c r="G1" s="259" t="inlineStr">
        <is>
          <t>Translated</t>
        </is>
      </c>
    </row>
    <row r="2" ht="14.25" customHeight="1">
      <c r="B2" s="113" t="inlineStr">
        <is>
          <t>Name of Complete Course</t>
        </is>
      </c>
      <c r="C2" s="256" t="n"/>
      <c r="D2" s="271" t="n"/>
      <c r="E2" s="271" t="n"/>
      <c r="F2" s="26" t="n"/>
      <c r="G2" s="258" t="n"/>
      <c r="H2" s="271" t="n"/>
      <c r="I2" s="271" t="n"/>
      <c r="J2" s="26" t="n"/>
    </row>
    <row r="3">
      <c r="B3" s="113" t="inlineStr">
        <is>
          <t>Name of Free Online Training</t>
        </is>
      </c>
      <c r="C3" s="256" t="n"/>
      <c r="D3" s="271" t="n"/>
      <c r="E3" s="271" t="n"/>
      <c r="F3" s="26" t="n"/>
      <c r="G3" s="258" t="n"/>
      <c r="H3" s="271" t="n"/>
      <c r="I3" s="271" t="n"/>
      <c r="J3" s="26" t="n"/>
    </row>
    <row r="5">
      <c r="B5" s="62" t="inlineStr">
        <is>
          <t>Timetable</t>
        </is>
      </c>
      <c r="C5" s="62" t="n"/>
      <c r="D5" s="62" t="n"/>
      <c r="E5" s="62" t="n"/>
      <c r="F5" s="259" t="n"/>
    </row>
    <row r="6">
      <c r="B6" s="12" t="inlineStr">
        <is>
          <t>Beginnig of Promotion (BoP)</t>
        </is>
      </c>
      <c r="C6" s="272" t="n">
        <v>46266</v>
      </c>
      <c r="D6" s="271" t="n"/>
      <c r="E6" s="271" t="n"/>
      <c r="F6" s="26" t="n"/>
    </row>
    <row r="7">
      <c r="B7" s="122" t="inlineStr">
        <is>
          <t>Start Summit</t>
        </is>
      </c>
      <c r="C7" s="272">
        <f>C6+13</f>
        <v/>
      </c>
      <c r="D7" s="271" t="n"/>
      <c r="E7" s="271" t="n"/>
      <c r="F7" s="26" t="n"/>
    </row>
    <row r="8">
      <c r="B8" s="27" t="inlineStr">
        <is>
          <t>Beginning of Sales (BoS)</t>
        </is>
      </c>
      <c r="C8" s="272">
        <f>C7+2</f>
        <v/>
      </c>
      <c r="D8" s="271" t="n"/>
      <c r="E8" s="271" t="n"/>
      <c r="F8" s="26" t="n"/>
    </row>
    <row r="9">
      <c r="B9" s="27" t="inlineStr">
        <is>
          <t>End of Sales (EoS)</t>
        </is>
      </c>
      <c r="C9" s="272">
        <f>C6+26</f>
        <v/>
      </c>
      <c r="D9" s="271" t="n"/>
      <c r="E9" s="271" t="n"/>
      <c r="F9" s="26" t="n"/>
    </row>
    <row r="10">
      <c r="B10" s="27" t="inlineStr">
        <is>
          <t>End of extended Sales (EoeS)</t>
        </is>
      </c>
      <c r="C10" s="272" t="n"/>
      <c r="D10" s="271" t="n"/>
      <c r="E10" s="271" t="n"/>
      <c r="F10" s="26" t="n"/>
    </row>
    <row r="11" ht="14.25" customHeight="1">
      <c r="C11" s="273" t="n"/>
      <c r="D11" s="273" t="n"/>
      <c r="E11" s="273" t="n"/>
      <c r="F11" s="273" t="n"/>
    </row>
    <row r="12" ht="14.25" customHeight="1">
      <c r="B12" s="62" t="inlineStr">
        <is>
          <t>General Information</t>
        </is>
      </c>
      <c r="C12" s="257" t="n"/>
      <c r="D12" s="274" t="n"/>
      <c r="E12" s="274" t="n"/>
      <c r="F12" s="274" t="n"/>
    </row>
    <row r="13" ht="14.25" customHeight="1">
      <c r="B13" s="113" t="inlineStr">
        <is>
          <t>Domain Name (URL)</t>
        </is>
      </c>
      <c r="C13" s="255" t="inlineStr">
        <is>
          <t xml:space="preserve">https://www.flowsummitespanol.com/ </t>
        </is>
      </c>
      <c r="D13" s="271" t="n"/>
      <c r="E13" s="271" t="n"/>
      <c r="F13" s="26" t="n"/>
    </row>
    <row r="14">
      <c r="B14" s="113" t="inlineStr">
        <is>
          <t>Project Code</t>
        </is>
      </c>
      <c r="C14" s="256" t="inlineStr">
        <is>
          <t>flow-cc-s7-l1</t>
        </is>
      </c>
      <c r="D14" s="271" t="n"/>
      <c r="E14" s="271" t="n"/>
      <c r="F14" s="26" t="n"/>
    </row>
    <row r="16">
      <c r="B16" s="11" t="inlineStr">
        <is>
          <t>Main offer title</t>
        </is>
      </c>
      <c r="C16" s="128" t="inlineStr">
        <is>
          <t>Value</t>
        </is>
      </c>
      <c r="E16" s="129" t="inlineStr">
        <is>
          <t>Total Value</t>
        </is>
      </c>
      <c r="F16" s="130" t="inlineStr">
        <is>
          <t>Price</t>
        </is>
      </c>
    </row>
    <row r="17" ht="45" customHeight="1">
      <c r="B17" s="127" t="inlineStr">
        <is>
          <t>Your 10-Step Online Learning Material
All the shamanic wisdom and teachings, exercises, instructions and meditations packed into an exciting online course!</t>
        </is>
      </c>
      <c r="C17" s="126" t="n"/>
      <c r="E17" s="125" t="inlineStr">
        <is>
          <t>Our regular price</t>
        </is>
      </c>
      <c r="F17" s="123" t="n"/>
      <c r="G17" s="250" t="inlineStr">
        <is>
          <t>Update pricing for your country</t>
        </is>
      </c>
    </row>
    <row r="18" ht="45" customHeight="1">
      <c r="B18" s="127" t="inlineStr">
        <is>
          <t>Audiobook
Download the complete course audios and listen to the course where- and whenever you like!</t>
        </is>
      </c>
      <c r="C18" s="126" t="n"/>
      <c r="E18" s="124" t="inlineStr">
        <is>
          <t>Special Price</t>
        </is>
      </c>
      <c r="F18" s="123" t="n"/>
      <c r="G18" s="275" t="n"/>
    </row>
    <row r="19" ht="45" customHeight="1">
      <c r="B19" s="127" t="inlineStr">
        <is>
          <t>Course Workbook
The complete workbook to accompany you on your learning journey! Complete with additional information, exercises and summaries.</t>
        </is>
      </c>
      <c r="C19" s="126" t="n"/>
      <c r="E19" s="124" t="inlineStr">
        <is>
          <t>Installment Price</t>
        </is>
      </c>
      <c r="F19" s="123" t="n"/>
      <c r="G19" s="275" t="n"/>
    </row>
    <row r="20" ht="45" customHeight="1">
      <c r="B20" s="127" t="inlineStr">
        <is>
          <t>Your Personal Dream Diary
Track your dreams, analyze them and keep up with your progress in this journal!</t>
        </is>
      </c>
      <c r="C20" s="126" t="n"/>
      <c r="E20" s="124" t="inlineStr">
        <is>
          <t>instead of:</t>
        </is>
      </c>
      <c r="F20" s="123" t="n"/>
      <c r="G20" s="275" t="n"/>
    </row>
    <row r="21">
      <c r="B21" s="9" t="n"/>
      <c r="C21" s="126" t="n"/>
    </row>
    <row r="22" ht="15" customHeight="1">
      <c r="B22" s="11" t="inlineStr">
        <is>
          <t>Additional bonus material</t>
        </is>
      </c>
      <c r="C22" s="128" t="n"/>
    </row>
    <row r="23" ht="60" customHeight="1">
      <c r="B23" s="127" t="inlineStr">
        <is>
          <t>Exclusive Documentation: "Shaman Healer Sage"
You get exclusive access to this unique documentation in which you will get to know about the master shamans, their work and their way of seeing the world!</t>
        </is>
      </c>
      <c r="C23" s="126" t="n"/>
    </row>
    <row r="24">
      <c r="B24" s="127" t="inlineStr">
        <is>
          <t>Illumnication of the Chakras</t>
        </is>
      </c>
      <c r="C24" s="126" t="n"/>
    </row>
    <row r="25" ht="45" customHeight="1">
      <c r="B25" s="127" t="inlineStr">
        <is>
          <t xml:space="preserve">Reclaiming your Highest Self - 
In this Keynote Contribution, Alberto Villoldo takes you on a meditative journey reclaim your birthright and to connect with higher spirit. </t>
        </is>
      </c>
      <c r="C25" s="126" t="n"/>
    </row>
    <row r="26" ht="45" customHeight="1">
      <c r="B26" s="127" t="inlineStr">
        <is>
          <t>Bonus Video: Soul Retrieval Ritual
In this exclusive video you will be introduced to the unique shamanic practice of soul retrieval!</t>
        </is>
      </c>
      <c r="C26" s="126" t="n"/>
    </row>
    <row r="27" ht="60" customHeight="1">
      <c r="B27" s="127" t="inlineStr">
        <is>
          <t>Growing a new body - 
Together with Dr. Mark Hyman, Alberto Villoldo shows you how you can develop the ability du control your own biology and grow a new body through the lense of science and shamanism</t>
        </is>
      </c>
      <c r="C27" s="126" t="n"/>
    </row>
    <row r="28" ht="30" customHeight="1">
      <c r="B28" s="127" t="inlineStr">
        <is>
          <t>2 Live Call Recordings with Alberto Villoldo answering some of the most important Questions during the Program</t>
        </is>
      </c>
      <c r="C28" s="126" t="n"/>
    </row>
    <row r="29" ht="45" customHeight="1">
      <c r="B29" s="127" t="inlineStr">
        <is>
          <t xml:space="preserve">2 live group coaching sessions - The course program includes 2 live online calls with a Master Teacher of the Four Winds Faculty, where your questions that you have about the course will be answered. </t>
        </is>
      </c>
      <c r="C29" s="126" t="n"/>
    </row>
  </sheetData>
  <mergeCells count="15">
    <mergeCell ref="C13:F13"/>
    <mergeCell ref="C9:F9"/>
    <mergeCell ref="C3:F3"/>
    <mergeCell ref="G3:J3"/>
    <mergeCell ref="C8:F8"/>
    <mergeCell ref="G17:G20"/>
    <mergeCell ref="C12:F12"/>
    <mergeCell ref="C6:F6"/>
    <mergeCell ref="C7:F7"/>
    <mergeCell ref="C1:F1"/>
    <mergeCell ref="G2:J2"/>
    <mergeCell ref="G1:J1"/>
    <mergeCell ref="C10:F10"/>
    <mergeCell ref="C2:F2"/>
    <mergeCell ref="C14:F14"/>
  </mergeCells>
  <hyperlinks>
    <hyperlink xmlns:r="http://schemas.openxmlformats.org/officeDocument/2006/relationships" ref="C13" r:id="rId1"/>
  </hyperlinks>
  <pageMargins left="0.7" right="0.7" top="0.75" bottom="0.75" header="0.3" footer="0.3"/>
  <pageSetup orientation="portrait" paperSize="9"/>
</worksheet>
</file>

<file path=xl/worksheets/sheet2.xml><?xml version="1.0" encoding="utf-8"?>
<worksheet xmlns="http://schemas.openxmlformats.org/spreadsheetml/2006/main">
  <sheetPr>
    <tabColor rgb="FF1D2E64"/>
    <outlinePr summaryBelow="1" summaryRight="1"/>
    <pageSetUpPr/>
  </sheetPr>
  <dimension ref="A1:K123"/>
  <sheetViews>
    <sheetView topLeftCell="A38" workbookViewId="0">
      <selection activeCell="D62" sqref="D62"/>
    </sheetView>
  </sheetViews>
  <sheetFormatPr baseColWidth="8" defaultColWidth="11.42578125" defaultRowHeight="15"/>
  <cols>
    <col width="3.28515625" bestFit="1" customWidth="1" style="183" min="1" max="1"/>
    <col width="56.85546875" customWidth="1" style="183" min="2" max="2"/>
    <col width="13.5703125" customWidth="1" style="207" min="3" max="3"/>
    <col width="10.140625" bestFit="1" customWidth="1" style="207" min="4" max="4"/>
    <col width="15.7109375" bestFit="1" customWidth="1" style="207" min="5" max="5"/>
    <col width="19.5703125" customWidth="1" style="207" min="6" max="6"/>
    <col width="14.42578125" customWidth="1" style="207" min="7" max="7"/>
    <col width="26.28515625" customWidth="1" style="204" min="8" max="8"/>
    <col width="11.42578125" customWidth="1" style="183" min="9" max="10"/>
    <col width="48.85546875" customWidth="1" style="183" min="11" max="11"/>
    <col width="11.42578125" customWidth="1" style="183" min="12" max="16384"/>
  </cols>
  <sheetData>
    <row r="1" ht="27" customHeight="1">
      <c r="A1" s="264" t="n"/>
      <c r="B1" s="184" t="inlineStr">
        <is>
          <t>flow! summit 2026</t>
        </is>
      </c>
      <c r="C1" s="185" t="inlineStr">
        <is>
          <t>Duration</t>
        </is>
      </c>
      <c r="D1" s="185" t="inlineStr">
        <is>
          <t>Word count</t>
        </is>
      </c>
      <c r="E1" s="186" t="inlineStr">
        <is>
          <t>Character count
(with blank spaces)</t>
        </is>
      </c>
      <c r="F1" s="184" t="inlineStr">
        <is>
          <t>Voice (Male / Female)</t>
        </is>
      </c>
      <c r="G1" s="187" t="inlineStr">
        <is>
          <t>Source</t>
        </is>
      </c>
      <c r="H1" s="184" t="inlineStr">
        <is>
          <t>Platform</t>
        </is>
      </c>
    </row>
    <row r="2">
      <c r="A2" s="264" t="n"/>
      <c r="B2" s="188" t="inlineStr">
        <is>
          <t>Main Dropbox Folder</t>
        </is>
      </c>
      <c r="C2" s="261" t="inlineStr">
        <is>
          <t>https://www.dropbox.com/scl/fo/qiriyisbn5hfqrasgzzfs/AJVaQ9yLnjZcedu2kie6qMw?rlkey=fesyfl3tynhwz2ac2t4uos21x&amp;st=vdb8u24z&amp;dl=0</t>
        </is>
      </c>
    </row>
    <row r="3" ht="21" customFormat="1" customHeight="1" s="193">
      <c r="A3" s="189" t="n"/>
      <c r="B3" s="189" t="inlineStr">
        <is>
          <t>Marketing Material</t>
        </is>
      </c>
      <c r="C3" s="190">
        <f>SUM(C4:C8)</f>
        <v/>
      </c>
      <c r="D3" s="191">
        <f>SUM(D4:D8)</f>
        <v/>
      </c>
      <c r="E3" s="191">
        <f>SUM(E4:E8)</f>
        <v/>
      </c>
      <c r="F3" s="191" t="n"/>
      <c r="G3" s="191" t="n"/>
      <c r="H3" s="276" t="n"/>
    </row>
    <row r="4">
      <c r="A4" s="265" t="n">
        <v>1</v>
      </c>
      <c r="B4" s="211" t="inlineStr">
        <is>
          <t>Trailer</t>
        </is>
      </c>
      <c r="C4" s="194" t="n">
        <v>0</v>
      </c>
      <c r="D4" s="260" t="n"/>
      <c r="E4" s="260" t="n"/>
      <c r="F4" s="260" t="n"/>
      <c r="G4" s="277" t="inlineStr">
        <is>
          <t>-</t>
        </is>
      </c>
      <c r="H4" s="278" t="inlineStr">
        <is>
          <t>Website</t>
        </is>
      </c>
    </row>
    <row r="5">
      <c r="A5" s="265" t="n">
        <v>2</v>
      </c>
      <c r="B5" s="211" t="inlineStr">
        <is>
          <t>Snippet 1</t>
        </is>
      </c>
      <c r="C5" s="194" t="n">
        <v>0</v>
      </c>
      <c r="D5" s="260" t="n"/>
      <c r="E5" s="260" t="n"/>
      <c r="F5" s="260" t="n"/>
      <c r="G5" s="277" t="inlineStr">
        <is>
          <t>-</t>
        </is>
      </c>
      <c r="H5" s="278" t="inlineStr">
        <is>
          <t>Facebook Ads</t>
        </is>
      </c>
    </row>
    <row r="6">
      <c r="A6" s="265" t="n">
        <v>3</v>
      </c>
      <c r="B6" s="211" t="inlineStr">
        <is>
          <t>Snippet 2</t>
        </is>
      </c>
      <c r="C6" s="194" t="n">
        <v>0</v>
      </c>
      <c r="D6" s="260" t="n"/>
      <c r="E6" s="260" t="n"/>
      <c r="F6" s="260" t="n"/>
      <c r="G6" s="277" t="inlineStr">
        <is>
          <t>-</t>
        </is>
      </c>
      <c r="H6" s="278" t="inlineStr">
        <is>
          <t>Facebook Ads</t>
        </is>
      </c>
    </row>
    <row r="7">
      <c r="A7" s="265" t="n">
        <v>4</v>
      </c>
      <c r="B7" s="211" t="inlineStr">
        <is>
          <t>Snippet 3</t>
        </is>
      </c>
      <c r="C7" s="194" t="n">
        <v>0</v>
      </c>
      <c r="D7" s="260" t="n"/>
      <c r="E7" s="260" t="n"/>
      <c r="F7" s="260" t="n"/>
      <c r="G7" s="277" t="inlineStr">
        <is>
          <t>-</t>
        </is>
      </c>
      <c r="H7" s="278" t="inlineStr">
        <is>
          <t>Facebook Ads</t>
        </is>
      </c>
    </row>
    <row r="8">
      <c r="A8" s="265" t="n">
        <v>5</v>
      </c>
      <c r="B8" s="211" t="inlineStr">
        <is>
          <t>Snippet 4</t>
        </is>
      </c>
      <c r="C8" s="194" t="n">
        <v>0</v>
      </c>
      <c r="D8" s="260" t="n"/>
      <c r="E8" s="260" t="n"/>
      <c r="F8" s="260" t="n"/>
      <c r="G8" s="277" t="inlineStr">
        <is>
          <t>-</t>
        </is>
      </c>
      <c r="H8" s="278" t="inlineStr">
        <is>
          <t>Facebook Ads</t>
        </is>
      </c>
    </row>
    <row r="9">
      <c r="A9" s="265" t="n">
        <v>6</v>
      </c>
      <c r="B9" s="211" t="inlineStr">
        <is>
          <t>Snippet 5</t>
        </is>
      </c>
      <c r="C9" s="194" t="n">
        <v>0</v>
      </c>
      <c r="D9" s="260" t="n"/>
      <c r="E9" s="260" t="n"/>
      <c r="F9" s="260" t="n"/>
      <c r="G9" s="277" t="inlineStr">
        <is>
          <t>-</t>
        </is>
      </c>
      <c r="H9" s="278" t="inlineStr">
        <is>
          <t>Facebook Ads</t>
        </is>
      </c>
    </row>
    <row r="10">
      <c r="A10" s="265" t="n">
        <v>7</v>
      </c>
      <c r="B10" s="211" t="inlineStr">
        <is>
          <t>Snippet 6</t>
        </is>
      </c>
      <c r="C10" s="194" t="n">
        <v>0</v>
      </c>
      <c r="D10" s="260" t="n"/>
      <c r="E10" s="260" t="n"/>
      <c r="F10" s="260" t="n"/>
      <c r="G10" s="277" t="inlineStr">
        <is>
          <t>-</t>
        </is>
      </c>
      <c r="H10" s="278" t="inlineStr">
        <is>
          <t>Facebook Ads</t>
        </is>
      </c>
    </row>
    <row r="11">
      <c r="A11" s="265" t="n">
        <v>8</v>
      </c>
      <c r="B11" s="211" t="inlineStr">
        <is>
          <t>Snippet 7</t>
        </is>
      </c>
      <c r="C11" s="194" t="n">
        <v>0</v>
      </c>
      <c r="D11" s="260" t="n"/>
      <c r="E11" s="260" t="n"/>
      <c r="F11" s="260" t="n"/>
      <c r="G11" s="277" t="inlineStr">
        <is>
          <t>-</t>
        </is>
      </c>
      <c r="H11" s="278" t="inlineStr">
        <is>
          <t>Facebook Ads</t>
        </is>
      </c>
    </row>
    <row r="12">
      <c r="A12" s="265" t="n">
        <v>9</v>
      </c>
      <c r="B12" s="211" t="inlineStr">
        <is>
          <t>Snippet 8</t>
        </is>
      </c>
      <c r="C12" s="194" t="n">
        <v>0</v>
      </c>
      <c r="D12" s="260" t="n"/>
      <c r="E12" s="260" t="n"/>
      <c r="F12" s="260" t="n"/>
      <c r="G12" s="277" t="inlineStr">
        <is>
          <t>-</t>
        </is>
      </c>
      <c r="H12" s="278" t="inlineStr">
        <is>
          <t>Facebook Ads</t>
        </is>
      </c>
    </row>
    <row r="13">
      <c r="A13" s="265" t="n">
        <v>10</v>
      </c>
      <c r="B13" s="211" t="inlineStr">
        <is>
          <t>Snippet 9</t>
        </is>
      </c>
      <c r="C13" s="194" t="n">
        <v>0</v>
      </c>
      <c r="D13" s="260" t="n"/>
      <c r="E13" s="260" t="n"/>
      <c r="F13" s="260" t="n"/>
      <c r="G13" s="277" t="inlineStr">
        <is>
          <t>-</t>
        </is>
      </c>
      <c r="H13" s="278" t="inlineStr">
        <is>
          <t>Facebook Ads</t>
        </is>
      </c>
    </row>
    <row r="14">
      <c r="A14" s="265" t="n">
        <v>11</v>
      </c>
      <c r="B14" s="211" t="inlineStr">
        <is>
          <t>Snippet 10</t>
        </is>
      </c>
      <c r="C14" s="194" t="n">
        <v>0</v>
      </c>
      <c r="D14" s="260" t="n"/>
      <c r="E14" s="260" t="n"/>
      <c r="F14" s="260" t="n"/>
      <c r="G14" s="277" t="inlineStr">
        <is>
          <t>-</t>
        </is>
      </c>
      <c r="H14" s="278" t="inlineStr">
        <is>
          <t>Facebook Ads</t>
        </is>
      </c>
    </row>
    <row r="15">
      <c r="A15" s="265" t="n">
        <v>12</v>
      </c>
      <c r="B15" s="211" t="inlineStr">
        <is>
          <t>Teaser 1</t>
        </is>
      </c>
      <c r="C15" s="194" t="n">
        <v>0</v>
      </c>
      <c r="D15" s="260" t="n"/>
      <c r="E15" s="260" t="n"/>
      <c r="F15" s="260" t="n"/>
      <c r="G15" s="277" t="inlineStr">
        <is>
          <t>-</t>
        </is>
      </c>
      <c r="H15" s="278" t="inlineStr">
        <is>
          <t>Website</t>
        </is>
      </c>
    </row>
    <row r="16">
      <c r="A16" s="265" t="n">
        <v>13</v>
      </c>
      <c r="B16" s="211" t="inlineStr">
        <is>
          <t>Teaser 2</t>
        </is>
      </c>
      <c r="C16" s="194" t="n">
        <v>0</v>
      </c>
      <c r="D16" s="260" t="n"/>
      <c r="E16" s="260" t="n"/>
      <c r="F16" s="260" t="n"/>
      <c r="G16" s="277" t="inlineStr">
        <is>
          <t>-</t>
        </is>
      </c>
      <c r="H16" s="278" t="inlineStr">
        <is>
          <t>Website</t>
        </is>
      </c>
    </row>
    <row r="17">
      <c r="A17" s="265" t="n">
        <v>14</v>
      </c>
      <c r="B17" s="211" t="inlineStr">
        <is>
          <t>Teaser 3</t>
        </is>
      </c>
      <c r="C17" s="194" t="n">
        <v>0</v>
      </c>
      <c r="D17" s="260" t="n"/>
      <c r="E17" s="260" t="n"/>
      <c r="F17" s="260" t="n"/>
      <c r="G17" s="277" t="inlineStr">
        <is>
          <t>-</t>
        </is>
      </c>
      <c r="H17" s="278" t="inlineStr">
        <is>
          <t>Website</t>
        </is>
      </c>
      <c r="I17" s="264" t="n"/>
      <c r="J17" s="264" t="n"/>
      <c r="K17" s="264" t="n"/>
    </row>
    <row r="18">
      <c r="A18" s="265" t="n">
        <v>15</v>
      </c>
      <c r="B18" s="211" t="inlineStr">
        <is>
          <t>Teaser 4</t>
        </is>
      </c>
      <c r="C18" s="194" t="n">
        <v>0</v>
      </c>
      <c r="D18" s="260" t="n"/>
      <c r="E18" s="260" t="n"/>
      <c r="F18" s="260" t="n"/>
      <c r="G18" s="277" t="inlineStr">
        <is>
          <t>-</t>
        </is>
      </c>
      <c r="H18" s="278" t="inlineStr">
        <is>
          <t>Website</t>
        </is>
      </c>
      <c r="I18" s="264" t="n"/>
      <c r="J18" s="264" t="n"/>
      <c r="K18" s="264" t="n"/>
    </row>
    <row r="19">
      <c r="A19" s="265" t="n">
        <v>16</v>
      </c>
      <c r="B19" s="211" t="inlineStr">
        <is>
          <t>Teaser 5</t>
        </is>
      </c>
      <c r="C19" s="194" t="n">
        <v>0</v>
      </c>
      <c r="D19" s="260" t="n"/>
      <c r="E19" s="260" t="n"/>
      <c r="F19" s="260" t="n"/>
      <c r="G19" s="277" t="inlineStr">
        <is>
          <t>-</t>
        </is>
      </c>
      <c r="H19" s="278" t="inlineStr">
        <is>
          <t>Website</t>
        </is>
      </c>
      <c r="I19" s="264" t="n"/>
      <c r="J19" s="264" t="n"/>
      <c r="K19" s="264" t="n"/>
    </row>
    <row r="20">
      <c r="A20" s="265" t="n">
        <v>17</v>
      </c>
      <c r="B20" s="211" t="inlineStr">
        <is>
          <t>Teaser 6</t>
        </is>
      </c>
      <c r="C20" s="194" t="n">
        <v>0</v>
      </c>
      <c r="D20" s="260" t="n"/>
      <c r="E20" s="260" t="n"/>
      <c r="F20" s="260" t="n"/>
      <c r="G20" s="277" t="inlineStr">
        <is>
          <t>-</t>
        </is>
      </c>
      <c r="H20" s="278" t="inlineStr">
        <is>
          <t>Website</t>
        </is>
      </c>
      <c r="I20" s="264" t="n"/>
      <c r="J20" s="264" t="n"/>
      <c r="K20" s="264" t="n"/>
    </row>
    <row r="21">
      <c r="A21" s="265" t="n">
        <v>18</v>
      </c>
      <c r="B21" s="211" t="inlineStr">
        <is>
          <t>Teaser 7</t>
        </is>
      </c>
      <c r="C21" s="194" t="n">
        <v>0</v>
      </c>
      <c r="D21" s="260" t="n"/>
      <c r="E21" s="260" t="n"/>
      <c r="F21" s="260" t="n"/>
      <c r="G21" s="277" t="inlineStr">
        <is>
          <t>-</t>
        </is>
      </c>
      <c r="H21" s="278" t="inlineStr">
        <is>
          <t>Website</t>
        </is>
      </c>
      <c r="I21" s="264" t="n"/>
      <c r="J21" s="264" t="n"/>
      <c r="K21" s="264" t="n"/>
    </row>
    <row r="22">
      <c r="A22" s="265" t="n">
        <v>19</v>
      </c>
      <c r="B22" s="231" t="inlineStr">
        <is>
          <t>Warmup: Relax Your Body, Free Your Mind – Mike Chang</t>
        </is>
      </c>
      <c r="C22" s="194" t="n">
        <v>0</v>
      </c>
      <c r="D22" s="260" t="n"/>
      <c r="E22" s="260" t="n"/>
      <c r="F22" s="260" t="n"/>
      <c r="G22" s="277" t="inlineStr">
        <is>
          <t>-</t>
        </is>
      </c>
      <c r="H22" s="278" t="inlineStr">
        <is>
          <t>Website &amp; Kajabi</t>
        </is>
      </c>
      <c r="I22" s="264" t="n"/>
      <c r="J22" s="264" t="n"/>
      <c r="K22" s="264" t="n"/>
    </row>
    <row r="23" ht="21" customFormat="1" customHeight="1" s="193">
      <c r="A23" s="189" t="n"/>
      <c r="B23" s="189" t="inlineStr">
        <is>
          <t>Course Content</t>
        </is>
      </c>
      <c r="C23" s="190">
        <f>SUM(C24:C33)</f>
        <v/>
      </c>
      <c r="D23" s="191">
        <f>SUM(D24:D33)</f>
        <v/>
      </c>
      <c r="E23" s="191">
        <f>SUM(E24:E33)</f>
        <v/>
      </c>
      <c r="F23" s="191" t="n"/>
      <c r="G23" s="191" t="n"/>
      <c r="H23" s="276" t="n"/>
    </row>
    <row r="24">
      <c r="A24" s="265" t="n">
        <v>1</v>
      </c>
      <c r="B24" s="198" t="inlineStr">
        <is>
          <t>D_Adam Roa_flow-cc-s7</t>
        </is>
      </c>
      <c r="C24" s="194" t="n">
        <v>0.02494212962962963</v>
      </c>
      <c r="D24" s="260" t="n">
        <v>4926</v>
      </c>
      <c r="E24" s="260" t="n">
        <v>26142</v>
      </c>
      <c r="F24" s="260" t="inlineStr">
        <is>
          <t>1 male</t>
        </is>
      </c>
      <c r="G24" s="277" t="inlineStr">
        <is>
          <t>-</t>
        </is>
      </c>
      <c r="H24" s="278" t="inlineStr">
        <is>
          <t>Website &amp; Kajabi</t>
        </is>
      </c>
      <c r="I24" s="264" t="n"/>
      <c r="J24" s="264" t="n"/>
      <c r="K24" s="264" t="n"/>
    </row>
    <row r="25">
      <c r="A25" s="265" t="n">
        <v>2</v>
      </c>
      <c r="B25" s="198" t="inlineStr">
        <is>
          <t>D_Alberto Villoldo_flow-cc-s7</t>
        </is>
      </c>
      <c r="C25" s="194" t="n">
        <v>0.02177083333333333</v>
      </c>
      <c r="D25" s="260" t="n">
        <v>3620</v>
      </c>
      <c r="E25" s="260" t="n">
        <v>19757</v>
      </c>
      <c r="F25" s="260" t="inlineStr">
        <is>
          <t>1 male</t>
        </is>
      </c>
      <c r="G25" s="277" t="inlineStr">
        <is>
          <t>-</t>
        </is>
      </c>
      <c r="H25" s="278" t="inlineStr">
        <is>
          <t>Website &amp; Kajabi</t>
        </is>
      </c>
      <c r="I25" s="264" t="n"/>
      <c r="J25" s="264" t="n"/>
      <c r="K25" s="264" t="n"/>
    </row>
    <row r="26">
      <c r="A26" s="265" t="n">
        <v>3</v>
      </c>
      <c r="B26" s="198" t="inlineStr">
        <is>
          <t>D_Anita Moorjani_flow-cc-s7</t>
        </is>
      </c>
      <c r="C26" s="194" t="n">
        <v>0.02826388888888889</v>
      </c>
      <c r="D26" s="260" t="n">
        <v>4443</v>
      </c>
      <c r="E26" s="260" t="n">
        <v>23154</v>
      </c>
      <c r="F26" s="260" t="inlineStr">
        <is>
          <t>1 female</t>
        </is>
      </c>
      <c r="G26" s="277" t="inlineStr">
        <is>
          <t>flow-cc-s6</t>
        </is>
      </c>
      <c r="H26" s="278" t="inlineStr">
        <is>
          <t>Website &amp; Kajabi</t>
        </is>
      </c>
      <c r="I26" s="264" t="n"/>
      <c r="J26" s="264" t="n"/>
      <c r="K26" s="264" t="n"/>
    </row>
    <row r="27">
      <c r="A27" s="265" t="n">
        <v>4</v>
      </c>
      <c r="B27" s="198" t="inlineStr">
        <is>
          <t>D_Bruce Lipton_flow-cc-s7</t>
        </is>
      </c>
      <c r="C27" s="194" t="n">
        <v>0.04402777777777778</v>
      </c>
      <c r="D27" s="260" t="n">
        <v>9783</v>
      </c>
      <c r="E27" s="260" t="n">
        <v>52692</v>
      </c>
      <c r="F27" s="260" t="inlineStr">
        <is>
          <t>1 male, 1 female</t>
        </is>
      </c>
      <c r="G27" s="277" t="inlineStr">
        <is>
          <t>-</t>
        </is>
      </c>
      <c r="H27" s="278" t="inlineStr">
        <is>
          <t>Website &amp; Kajabi</t>
        </is>
      </c>
      <c r="I27" s="264" t="n"/>
      <c r="J27" s="264" t="n"/>
      <c r="K27" s="264" t="n"/>
    </row>
    <row r="28">
      <c r="A28" s="265" t="n">
        <v>5</v>
      </c>
      <c r="B28" s="198" t="inlineStr">
        <is>
          <t>D_Byron Katie Interview_flow-cc-s7</t>
        </is>
      </c>
      <c r="C28" s="194" t="n">
        <v>0.0341087962962963</v>
      </c>
      <c r="D28" s="260" t="n">
        <v>5851</v>
      </c>
      <c r="E28" s="260" t="n">
        <v>30909</v>
      </c>
      <c r="F28" s="260" t="inlineStr">
        <is>
          <t>2 females</t>
        </is>
      </c>
      <c r="G28" s="277" t="inlineStr">
        <is>
          <t>flow-cc-s4</t>
        </is>
      </c>
      <c r="H28" s="278" t="inlineStr">
        <is>
          <t>Website &amp; Kajabi</t>
        </is>
      </c>
      <c r="I28" s="264" t="n"/>
      <c r="J28" s="264" t="n"/>
      <c r="K28" s="264" t="n"/>
    </row>
    <row r="29">
      <c r="A29" s="265" t="n">
        <v>6</v>
      </c>
      <c r="B29" s="198" t="inlineStr">
        <is>
          <t>D_Daniel Alan_flow-cc-s7</t>
        </is>
      </c>
      <c r="C29" s="194" t="n">
        <v>0.02892361111111111</v>
      </c>
      <c r="D29" s="260" t="n">
        <v>4256</v>
      </c>
      <c r="E29" s="260" t="n">
        <v>24356</v>
      </c>
      <c r="F29" s="260" t="inlineStr">
        <is>
          <t>1 male</t>
        </is>
      </c>
      <c r="G29" s="277" t="inlineStr">
        <is>
          <t>-</t>
        </is>
      </c>
      <c r="H29" s="278" t="inlineStr">
        <is>
          <t>Website &amp; Kajabi</t>
        </is>
      </c>
      <c r="I29" s="199" t="n"/>
      <c r="J29" s="264" t="n"/>
      <c r="K29" s="200" t="n"/>
    </row>
    <row r="30">
      <c r="A30" s="265" t="n">
        <v>7</v>
      </c>
      <c r="B30" s="198" t="inlineStr">
        <is>
          <t>D_Deva Premal &amp; Miten_flow-cc-s7</t>
        </is>
      </c>
      <c r="C30" s="194" t="n">
        <v>0.01643518518518518</v>
      </c>
      <c r="D30" s="260" t="n">
        <v>1711</v>
      </c>
      <c r="E30" s="260" t="n">
        <v>9263</v>
      </c>
      <c r="F30" s="260" t="inlineStr">
        <is>
          <t>1 male, 1 female</t>
        </is>
      </c>
      <c r="G30" s="277" t="inlineStr">
        <is>
          <t>prd-cc-k1</t>
        </is>
      </c>
      <c r="H30" s="278" t="inlineStr">
        <is>
          <t>Website &amp; Kajabi</t>
        </is>
      </c>
      <c r="I30" s="199" t="n"/>
      <c r="J30" s="264" t="n"/>
      <c r="K30" s="200" t="n"/>
    </row>
    <row r="31">
      <c r="A31" s="265" t="n">
        <v>8</v>
      </c>
      <c r="B31" s="198" t="inlineStr">
        <is>
          <t>D_Dr Alex loyd_flow-cc-s7</t>
        </is>
      </c>
      <c r="C31" s="194" t="n">
        <v>0.02018518518518518</v>
      </c>
      <c r="D31" s="260" t="n">
        <v>3748</v>
      </c>
      <c r="E31" s="260" t="n">
        <v>20773</v>
      </c>
      <c r="F31" s="260" t="inlineStr">
        <is>
          <t>1 male</t>
        </is>
      </c>
      <c r="G31" s="277" t="inlineStr">
        <is>
          <t>mtg-cc-s1</t>
        </is>
      </c>
      <c r="H31" s="278" t="inlineStr">
        <is>
          <t>Website &amp; Kajabi</t>
        </is>
      </c>
      <c r="I31" s="199" t="n"/>
      <c r="J31" s="264" t="n"/>
      <c r="K31" s="200" t="n"/>
    </row>
    <row r="32">
      <c r="A32" s="265" t="n">
        <v>9</v>
      </c>
      <c r="B32" s="198" t="inlineStr">
        <is>
          <t>D_Dr Bradley Nelson_flow-cc-s7</t>
        </is>
      </c>
      <c r="C32" s="194" t="n">
        <v>0.0121412037037037</v>
      </c>
      <c r="D32" s="260" t="n">
        <v>2686</v>
      </c>
      <c r="E32" s="260" t="n">
        <v>15737</v>
      </c>
      <c r="F32" s="260" t="inlineStr">
        <is>
          <t>1 male</t>
        </is>
      </c>
      <c r="G32" s="277" t="inlineStr">
        <is>
          <t>-</t>
        </is>
      </c>
      <c r="H32" s="278" t="inlineStr">
        <is>
          <t>Website &amp; Kajabi</t>
        </is>
      </c>
      <c r="I32" s="199" t="n"/>
      <c r="J32" s="264" t="n"/>
      <c r="K32" s="200" t="n"/>
    </row>
    <row r="33">
      <c r="A33" s="265" t="n">
        <v>10</v>
      </c>
      <c r="B33" s="201" t="inlineStr">
        <is>
          <t>D_Dr Eric Pearl_flow-cc-s7</t>
        </is>
      </c>
      <c r="C33" s="194" t="n">
        <v>0.02303240740740741</v>
      </c>
      <c r="D33" s="260" t="n">
        <v>3784</v>
      </c>
      <c r="E33" s="260" t="n">
        <v>21068</v>
      </c>
      <c r="F33" s="260" t="inlineStr">
        <is>
          <t>1 male</t>
        </is>
      </c>
      <c r="G33" s="277" t="inlineStr">
        <is>
          <t>-</t>
        </is>
      </c>
      <c r="H33" s="278" t="inlineStr">
        <is>
          <t>Website &amp; Kajabi</t>
        </is>
      </c>
      <c r="I33" s="199" t="n"/>
      <c r="J33" s="264" t="n"/>
      <c r="K33" s="200" t="n"/>
    </row>
    <row r="34">
      <c r="A34" s="265" t="n">
        <v>11</v>
      </c>
      <c r="B34" s="201" t="inlineStr">
        <is>
          <t>D_Dr Gabor Maté_flow-cc-s7</t>
        </is>
      </c>
      <c r="C34" s="194" t="n">
        <v>0.06978009259259259</v>
      </c>
      <c r="D34" s="260" t="n">
        <v>13703</v>
      </c>
      <c r="E34" s="260" t="n">
        <v>72556</v>
      </c>
      <c r="F34" s="260" t="inlineStr">
        <is>
          <t>4 male, 9 female</t>
        </is>
      </c>
      <c r="G34" s="277" t="inlineStr">
        <is>
          <t>-</t>
        </is>
      </c>
      <c r="H34" s="278" t="inlineStr">
        <is>
          <t>Website &amp; Kajabi</t>
        </is>
      </c>
      <c r="I34" s="199" t="n"/>
      <c r="J34" s="264" t="n"/>
      <c r="K34" s="200" t="n"/>
    </row>
    <row r="35">
      <c r="A35" s="265" t="n">
        <v>12</v>
      </c>
      <c r="B35" s="201" t="inlineStr">
        <is>
          <t>D_Dr Joe Dispenza Interview_flow-cc-s7</t>
        </is>
      </c>
      <c r="C35" s="194" t="n">
        <v>0.02766203703703704</v>
      </c>
      <c r="D35" s="260" t="n">
        <v>5494</v>
      </c>
      <c r="E35" s="260" t="n">
        <v>32023</v>
      </c>
      <c r="F35" s="260" t="inlineStr">
        <is>
          <t>1 male, 1 female</t>
        </is>
      </c>
      <c r="G35" s="277" t="inlineStr">
        <is>
          <t>-</t>
        </is>
      </c>
      <c r="H35" s="278" t="inlineStr">
        <is>
          <t>Website &amp; Kajabi</t>
        </is>
      </c>
      <c r="I35" s="199" t="n"/>
      <c r="J35" s="264" t="n"/>
      <c r="K35" s="200" t="n"/>
    </row>
    <row r="36">
      <c r="A36" s="265" t="n">
        <v>13</v>
      </c>
      <c r="B36" s="201" t="inlineStr">
        <is>
          <t>D_Dr Shamini Jain_flow-cc-s7</t>
        </is>
      </c>
      <c r="C36" s="194" t="n">
        <v>0.01501157407407407</v>
      </c>
      <c r="D36" s="260" t="n">
        <v>2790</v>
      </c>
      <c r="E36" s="260" t="n">
        <v>15288</v>
      </c>
      <c r="F36" s="260" t="inlineStr">
        <is>
          <t>1 female</t>
        </is>
      </c>
      <c r="G36" s="277" t="inlineStr">
        <is>
          <t>mtg-cc-s1</t>
        </is>
      </c>
      <c r="H36" s="278" t="inlineStr">
        <is>
          <t>Website &amp; Kajabi</t>
        </is>
      </c>
      <c r="I36" s="199" t="n"/>
      <c r="J36" s="264" t="n"/>
      <c r="K36" s="200" t="n"/>
    </row>
    <row r="37">
      <c r="A37" s="265" t="n">
        <v>14</v>
      </c>
      <c r="B37" s="201" t="inlineStr">
        <is>
          <t>D_Gordon Smith_flow-cc-s7</t>
        </is>
      </c>
      <c r="C37" s="194" t="n">
        <v>0.02111111111111111</v>
      </c>
      <c r="D37" s="260" t="n">
        <v>3026</v>
      </c>
      <c r="E37" s="260" t="n">
        <v>16356</v>
      </c>
      <c r="F37" s="260" t="inlineStr">
        <is>
          <t>1 male</t>
        </is>
      </c>
      <c r="G37" s="277" t="inlineStr">
        <is>
          <t>-</t>
        </is>
      </c>
      <c r="H37" s="278" t="inlineStr">
        <is>
          <t>Website &amp; Kajabi</t>
        </is>
      </c>
      <c r="I37" s="199" t="n"/>
      <c r="J37" s="264" t="n"/>
      <c r="K37" s="200" t="n"/>
    </row>
    <row r="38">
      <c r="A38" s="265" t="n">
        <v>15</v>
      </c>
      <c r="B38" s="201" t="inlineStr">
        <is>
          <t>D_Gregg Braden_flow-cc-s7</t>
        </is>
      </c>
      <c r="C38" s="194" t="n">
        <v>0.01908564814814815</v>
      </c>
      <c r="D38" s="260" t="n">
        <v>3924</v>
      </c>
      <c r="E38" s="260" t="n">
        <v>22006</v>
      </c>
      <c r="F38" s="260" t="inlineStr">
        <is>
          <t>1 male</t>
        </is>
      </c>
      <c r="G38" s="277" t="inlineStr">
        <is>
          <t>brg-cc-k3</t>
        </is>
      </c>
      <c r="H38" s="278" t="inlineStr">
        <is>
          <t>Website &amp; Kajabi</t>
        </is>
      </c>
      <c r="I38" s="199" t="n"/>
      <c r="J38" s="264" t="n"/>
      <c r="K38" s="200" t="n"/>
    </row>
    <row r="39">
      <c r="A39" s="265" t="n">
        <v>16</v>
      </c>
      <c r="B39" s="201" t="inlineStr">
        <is>
          <t>D_John Strelecky Interview_flow-cc-s7</t>
        </is>
      </c>
      <c r="C39" s="194" t="n">
        <v>0.02893518518518519</v>
      </c>
      <c r="D39" s="260" t="n">
        <v>8000</v>
      </c>
      <c r="E39" s="260" t="n">
        <v>41550</v>
      </c>
      <c r="F39" s="260" t="inlineStr">
        <is>
          <t>2 male</t>
        </is>
      </c>
      <c r="G39" s="277" t="inlineStr">
        <is>
          <t>-</t>
        </is>
      </c>
      <c r="H39" s="278" t="inlineStr">
        <is>
          <t>Website &amp; Kajabi</t>
        </is>
      </c>
      <c r="I39" s="199" t="n"/>
      <c r="J39" s="264" t="n"/>
      <c r="K39" s="200" t="n"/>
    </row>
    <row r="40">
      <c r="A40" s="265" t="n">
        <v>17</v>
      </c>
      <c r="B40" s="201" t="inlineStr">
        <is>
          <t>D_Jon Paul Crimi_flow-cc-s7</t>
        </is>
      </c>
      <c r="C40" s="194" t="n">
        <v>0.0193287037037037</v>
      </c>
      <c r="D40" s="260" t="n">
        <v>4825</v>
      </c>
      <c r="E40" s="260" t="n">
        <v>25726</v>
      </c>
      <c r="F40" s="260" t="inlineStr">
        <is>
          <t>1 male</t>
        </is>
      </c>
      <c r="G40" s="277" t="inlineStr">
        <is>
          <t>-</t>
        </is>
      </c>
      <c r="H40" s="278" t="inlineStr">
        <is>
          <t>Website &amp; Kajabi</t>
        </is>
      </c>
      <c r="I40" s="199" t="n"/>
      <c r="J40" s="264" t="n"/>
      <c r="K40" s="200" t="n"/>
    </row>
    <row r="41">
      <c r="A41" s="265" t="n">
        <v>18</v>
      </c>
      <c r="B41" s="201" t="inlineStr">
        <is>
          <t>D_Kyle Gray_flow-cc-s7</t>
        </is>
      </c>
      <c r="C41" s="194" t="n">
        <v>0.04585648148148148</v>
      </c>
      <c r="D41" s="260" t="n">
        <v>9558</v>
      </c>
      <c r="E41" s="260" t="n">
        <v>50605</v>
      </c>
      <c r="F41" s="260" t="inlineStr">
        <is>
          <t>1 male</t>
        </is>
      </c>
      <c r="G41" s="277" t="inlineStr">
        <is>
          <t>-</t>
        </is>
      </c>
      <c r="H41" s="278" t="inlineStr">
        <is>
          <t>Website &amp; Kajabi</t>
        </is>
      </c>
      <c r="I41" s="199" t="n"/>
      <c r="J41" s="264" t="n"/>
      <c r="K41" s="200" t="n"/>
    </row>
    <row r="42">
      <c r="A42" s="265" t="n">
        <v>19</v>
      </c>
      <c r="B42" s="201" t="inlineStr">
        <is>
          <t>D_Lee Harris_flow-cc-s7</t>
        </is>
      </c>
      <c r="C42" s="194" t="n">
        <v>0.04337962962962963</v>
      </c>
      <c r="D42" s="260" t="n">
        <v>8067</v>
      </c>
      <c r="E42" s="260" t="n">
        <v>42593</v>
      </c>
      <c r="F42" s="260" t="inlineStr">
        <is>
          <t>1 male</t>
        </is>
      </c>
      <c r="G42" s="277" t="inlineStr">
        <is>
          <t>-</t>
        </is>
      </c>
      <c r="H42" s="278" t="inlineStr">
        <is>
          <t>Website &amp; Kajabi</t>
        </is>
      </c>
      <c r="I42" s="199" t="n"/>
      <c r="J42" s="264" t="n"/>
      <c r="K42" s="200" t="n"/>
    </row>
    <row r="43">
      <c r="A43" s="265" t="n">
        <v>20</v>
      </c>
      <c r="B43" s="201" t="inlineStr">
        <is>
          <t>D_Lee Holden_flow-cc-s7</t>
        </is>
      </c>
      <c r="C43" s="194" t="n">
        <v>0.02429398148148148</v>
      </c>
      <c r="D43" s="260" t="n">
        <v>4440</v>
      </c>
      <c r="E43" s="260" t="n">
        <v>24107</v>
      </c>
      <c r="F43" s="260" t="inlineStr">
        <is>
          <t>1 male</t>
        </is>
      </c>
      <c r="G43" s="277" t="inlineStr">
        <is>
          <t>-</t>
        </is>
      </c>
      <c r="H43" s="278" t="inlineStr">
        <is>
          <t>Website &amp; Kajabi</t>
        </is>
      </c>
      <c r="I43" s="199" t="n"/>
      <c r="J43" s="264" t="n"/>
      <c r="K43" s="200" t="n"/>
    </row>
    <row r="44">
      <c r="A44" s="265" t="n">
        <v>21</v>
      </c>
      <c r="B44" s="201" t="inlineStr">
        <is>
          <t>D_Mandy Morris_flow-cc-s7</t>
        </is>
      </c>
      <c r="C44" s="194" t="n">
        <v>0.01476851851851852</v>
      </c>
      <c r="D44" s="260" t="n">
        <v>3580</v>
      </c>
      <c r="E44" s="260" t="n">
        <v>19426</v>
      </c>
      <c r="F44" s="260" t="inlineStr">
        <is>
          <t>1 female</t>
        </is>
      </c>
      <c r="G44" s="277" t="inlineStr">
        <is>
          <t>flow-cc-s6</t>
        </is>
      </c>
      <c r="H44" s="278" t="inlineStr">
        <is>
          <t>Website &amp; Kajabi</t>
        </is>
      </c>
      <c r="I44" s="199" t="n"/>
      <c r="J44" s="264" t="n"/>
      <c r="K44" s="200" t="n"/>
    </row>
    <row r="45" ht="27" customHeight="1">
      <c r="A45" s="265" t="n">
        <v>22</v>
      </c>
      <c r="B45" s="201" t="inlineStr">
        <is>
          <t>D_Marcela Lobos_flow-cc-s7</t>
        </is>
      </c>
      <c r="C45" s="194" t="n">
        <v>0.01744212962962963</v>
      </c>
      <c r="D45" s="260" t="n">
        <v>2602</v>
      </c>
      <c r="E45" s="260" t="n">
        <v>13922</v>
      </c>
      <c r="F45" s="202" t="inlineStr">
        <is>
          <t>1 female (2 male in foreign language)</t>
        </is>
      </c>
      <c r="G45" s="277" t="inlineStr">
        <is>
          <t>-</t>
        </is>
      </c>
      <c r="H45" s="278" t="inlineStr">
        <is>
          <t>Website &amp; Kajabi</t>
        </is>
      </c>
      <c r="I45" s="199" t="n"/>
      <c r="J45" s="264" t="n"/>
      <c r="K45" s="200" t="n"/>
    </row>
    <row r="46">
      <c r="A46" s="265" t="n">
        <v>23</v>
      </c>
      <c r="B46" s="201" t="inlineStr">
        <is>
          <t>D_Marie Diamond_flow-cc-s7</t>
        </is>
      </c>
      <c r="C46" s="194" t="n">
        <v>0.02049768518518518</v>
      </c>
      <c r="D46" s="260" t="n">
        <v>4340</v>
      </c>
      <c r="E46" s="260" t="n">
        <v>22894</v>
      </c>
      <c r="F46" s="260" t="inlineStr">
        <is>
          <t>1 female</t>
        </is>
      </c>
      <c r="G46" s="277" t="inlineStr">
        <is>
          <t>-</t>
        </is>
      </c>
      <c r="H46" s="278" t="inlineStr">
        <is>
          <t>Website &amp; Kajabi</t>
        </is>
      </c>
      <c r="I46" s="199" t="n"/>
      <c r="J46" s="264" t="n"/>
      <c r="K46" s="200" t="n"/>
    </row>
    <row r="47">
      <c r="A47" s="265" t="n">
        <v>24</v>
      </c>
      <c r="B47" s="201" t="inlineStr">
        <is>
          <t>D_Matías De Stefano_flow-cc-s7</t>
        </is>
      </c>
      <c r="C47" s="194" t="n">
        <v>0.02440972222222222</v>
      </c>
      <c r="D47" s="260" t="n">
        <v>4485</v>
      </c>
      <c r="E47" s="260" t="n">
        <v>23965</v>
      </c>
      <c r="F47" s="260" t="inlineStr">
        <is>
          <t>1 male</t>
        </is>
      </c>
      <c r="G47" s="277" t="inlineStr">
        <is>
          <t>-</t>
        </is>
      </c>
      <c r="H47" s="278" t="inlineStr">
        <is>
          <t>Website &amp; Kajabi</t>
        </is>
      </c>
      <c r="I47" s="199" t="n"/>
      <c r="J47" s="264" t="n"/>
      <c r="K47" s="200" t="n"/>
    </row>
    <row r="48">
      <c r="A48" s="265" t="n">
        <v>25</v>
      </c>
      <c r="B48" s="201" t="inlineStr">
        <is>
          <t>D_Matt Cooke_flow-cc-s7</t>
        </is>
      </c>
      <c r="C48" s="194" t="n">
        <v>0.03054398148148148</v>
      </c>
      <c r="D48" s="260" t="n">
        <v>6916</v>
      </c>
      <c r="E48" s="260" t="n">
        <v>38075</v>
      </c>
      <c r="F48" s="260" t="inlineStr">
        <is>
          <t>1 male</t>
        </is>
      </c>
      <c r="G48" s="277" t="inlineStr">
        <is>
          <t>-</t>
        </is>
      </c>
      <c r="H48" s="278" t="inlineStr">
        <is>
          <t>Website &amp; Kajabi</t>
        </is>
      </c>
      <c r="I48" s="199" t="n"/>
      <c r="J48" s="264" t="n"/>
      <c r="K48" s="200" t="n"/>
    </row>
    <row r="49">
      <c r="A49" s="265" t="n">
        <v>26</v>
      </c>
      <c r="B49" s="201" t="inlineStr">
        <is>
          <t>D_Neale Donald Walsch_flow-cc-s7</t>
        </is>
      </c>
      <c r="C49" s="194" t="n">
        <v>0.01949074074074074</v>
      </c>
      <c r="D49" s="260" t="n">
        <v>3455</v>
      </c>
      <c r="E49" s="260" t="n">
        <v>19021</v>
      </c>
      <c r="F49" s="260" t="inlineStr">
        <is>
          <t>1 male</t>
        </is>
      </c>
      <c r="G49" s="277" t="inlineStr">
        <is>
          <t>-</t>
        </is>
      </c>
      <c r="H49" s="278" t="inlineStr">
        <is>
          <t>Website &amp; Kajabi</t>
        </is>
      </c>
      <c r="I49" s="199" t="n"/>
      <c r="J49" s="264" t="n"/>
      <c r="K49" s="200" t="n"/>
    </row>
    <row r="50">
      <c r="A50" s="265" t="n">
        <v>27</v>
      </c>
      <c r="B50" s="201" t="inlineStr">
        <is>
          <t>D_Oliver Niño_flow-cc-s7</t>
        </is>
      </c>
      <c r="C50" s="194" t="n">
        <v>0.0225</v>
      </c>
      <c r="D50" s="260" t="n">
        <v>4950</v>
      </c>
      <c r="E50" s="260" t="n">
        <v>26703</v>
      </c>
      <c r="F50" s="260" t="inlineStr">
        <is>
          <t>1 male</t>
        </is>
      </c>
      <c r="G50" s="277" t="inlineStr">
        <is>
          <t>flow-cc-s6</t>
        </is>
      </c>
      <c r="H50" s="278" t="inlineStr">
        <is>
          <t>Website &amp; Kajabi</t>
        </is>
      </c>
      <c r="I50" s="199" t="n"/>
      <c r="J50" s="264" t="n"/>
      <c r="K50" s="200" t="n"/>
    </row>
    <row r="51">
      <c r="A51" s="265" t="n">
        <v>28</v>
      </c>
      <c r="B51" s="201" t="inlineStr">
        <is>
          <t>D_Petra Brzovic_flow-cc-s7</t>
        </is>
      </c>
      <c r="C51" s="194" t="n">
        <v>0.01709490740740741</v>
      </c>
      <c r="D51" s="260" t="n">
        <v>1893</v>
      </c>
      <c r="E51" s="260" t="n">
        <v>10192</v>
      </c>
      <c r="F51" s="260" t="inlineStr">
        <is>
          <t>1 female</t>
        </is>
      </c>
      <c r="G51" s="277" t="inlineStr">
        <is>
          <t>-</t>
        </is>
      </c>
      <c r="H51" s="278" t="inlineStr">
        <is>
          <t>Website &amp; Kajabi</t>
        </is>
      </c>
      <c r="I51" s="199" t="n"/>
      <c r="J51" s="264" t="n"/>
      <c r="K51" s="200" t="n"/>
    </row>
    <row r="52">
      <c r="A52" s="265" t="n">
        <v>29</v>
      </c>
      <c r="B52" s="201" t="inlineStr">
        <is>
          <t>D_Philip Carr-Gomm_flow-cc-s7</t>
        </is>
      </c>
      <c r="C52" s="194" t="n">
        <v>0.01890046296296296</v>
      </c>
      <c r="D52" s="260" t="n">
        <v>2678</v>
      </c>
      <c r="E52" s="260" t="n">
        <v>14514</v>
      </c>
      <c r="F52" s="260" t="inlineStr">
        <is>
          <t>1 male</t>
        </is>
      </c>
      <c r="G52" s="277" t="inlineStr">
        <is>
          <t>-</t>
        </is>
      </c>
      <c r="H52" s="278" t="inlineStr">
        <is>
          <t>Website &amp; Kajabi</t>
        </is>
      </c>
      <c r="I52" s="199" t="n"/>
      <c r="J52" s="264" t="n"/>
      <c r="K52" s="200" t="n"/>
    </row>
    <row r="53">
      <c r="A53" s="265" t="n">
        <v>30</v>
      </c>
      <c r="B53" s="201" t="inlineStr">
        <is>
          <t>D_Sadhguru Interview_flow-cc-s7</t>
        </is>
      </c>
      <c r="C53" s="194" t="n">
        <v>0.03184027777777778</v>
      </c>
      <c r="D53" s="260" t="n">
        <v>6671</v>
      </c>
      <c r="E53" s="260" t="n">
        <v>36483</v>
      </c>
      <c r="F53" s="260" t="inlineStr">
        <is>
          <t>1 male, 1 female</t>
        </is>
      </c>
      <c r="G53" s="277" t="inlineStr">
        <is>
          <t>sel-cc-k1</t>
        </is>
      </c>
      <c r="H53" s="278" t="inlineStr">
        <is>
          <t>Website &amp; Kajabi</t>
        </is>
      </c>
      <c r="I53" s="199" t="n"/>
      <c r="J53" s="264" t="n"/>
      <c r="K53" s="200" t="n"/>
    </row>
    <row r="54">
      <c r="A54" s="265" t="n">
        <v>31</v>
      </c>
      <c r="B54" s="201" t="inlineStr">
        <is>
          <t>D_Scott Schwenk_flow-cc-s7</t>
        </is>
      </c>
      <c r="C54" s="194" t="n">
        <v>0.02594907407407408</v>
      </c>
      <c r="D54" s="260" t="n">
        <v>3922</v>
      </c>
      <c r="E54" s="260" t="n">
        <v>21494</v>
      </c>
      <c r="F54" s="260" t="inlineStr">
        <is>
          <t>1 male</t>
        </is>
      </c>
      <c r="G54" s="277" t="inlineStr">
        <is>
          <t>-</t>
        </is>
      </c>
      <c r="H54" s="278" t="inlineStr">
        <is>
          <t>Website &amp; Kajabi</t>
        </is>
      </c>
      <c r="I54" s="199" t="n"/>
      <c r="J54" s="264" t="n"/>
      <c r="K54" s="200" t="n"/>
    </row>
    <row r="55">
      <c r="A55" s="265" t="n">
        <v>32</v>
      </c>
      <c r="B55" s="201" t="inlineStr">
        <is>
          <t>D_Sergio Bambaren_flow-cc-s7</t>
        </is>
      </c>
      <c r="C55" s="194" t="n">
        <v>0.02502314814814815</v>
      </c>
      <c r="D55" s="260" t="n">
        <v>3622</v>
      </c>
      <c r="E55" s="260" t="n">
        <v>19528</v>
      </c>
      <c r="F55" s="260" t="inlineStr">
        <is>
          <t>1 male</t>
        </is>
      </c>
      <c r="G55" s="277" t="inlineStr">
        <is>
          <t>-</t>
        </is>
      </c>
      <c r="H55" s="278" t="inlineStr">
        <is>
          <t>Website &amp; Kajabi</t>
        </is>
      </c>
      <c r="I55" s="199" t="n"/>
      <c r="J55" s="264" t="n"/>
      <c r="K55" s="200" t="n"/>
    </row>
    <row r="56">
      <c r="A56" s="265" t="n">
        <v>33</v>
      </c>
      <c r="B56" s="201" t="inlineStr">
        <is>
          <t>D_Thích Nhất Hạnh_flow-cc-s7</t>
        </is>
      </c>
      <c r="C56" s="194" t="n">
        <v>0.02101851851851852</v>
      </c>
      <c r="D56" s="260" t="n">
        <v>2654</v>
      </c>
      <c r="E56" s="260" t="n">
        <v>14886</v>
      </c>
      <c r="F56" s="260" t="inlineStr">
        <is>
          <t>1 male</t>
        </is>
      </c>
      <c r="G56" s="277" t="inlineStr">
        <is>
          <t>-</t>
        </is>
      </c>
      <c r="H56" s="278" t="inlineStr">
        <is>
          <t>Website &amp; Kajabi</t>
        </is>
      </c>
      <c r="I56" s="199" t="n"/>
      <c r="J56" s="264" t="n"/>
      <c r="K56" s="200" t="n"/>
    </row>
    <row r="57">
      <c r="A57" s="265" t="n">
        <v>34</v>
      </c>
      <c r="B57" s="201" t="inlineStr">
        <is>
          <t>D_Thomas Campbell_flow-cc-s7</t>
        </is>
      </c>
      <c r="C57" s="194" t="n">
        <v>0.07640046296296296</v>
      </c>
      <c r="D57" s="260" t="n">
        <v>13719</v>
      </c>
      <c r="E57" s="260" t="n">
        <v>76019</v>
      </c>
      <c r="F57" s="260" t="inlineStr">
        <is>
          <t>1 male</t>
        </is>
      </c>
      <c r="G57" s="277" t="inlineStr">
        <is>
          <t>-</t>
        </is>
      </c>
      <c r="H57" s="278" t="inlineStr">
        <is>
          <t>Website &amp; Kajabi</t>
        </is>
      </c>
      <c r="I57" s="199" t="n"/>
      <c r="J57" s="264" t="n"/>
      <c r="K57" s="200" t="n"/>
    </row>
    <row r="58">
      <c r="A58" s="265" t="n">
        <v>35</v>
      </c>
      <c r="B58" s="201" t="inlineStr">
        <is>
          <t>D_Tulku Lobsang Rinpoche_flow-cc-s7</t>
        </is>
      </c>
      <c r="C58" s="194" t="n">
        <v>0.01546296296296296</v>
      </c>
      <c r="D58" s="260" t="n">
        <v>1342</v>
      </c>
      <c r="E58" s="260" t="n">
        <v>7799</v>
      </c>
      <c r="F58" s="260" t="inlineStr">
        <is>
          <t>1 male</t>
        </is>
      </c>
      <c r="G58" s="277" t="inlineStr">
        <is>
          <t>-</t>
        </is>
      </c>
      <c r="H58" s="278" t="inlineStr">
        <is>
          <t>Website &amp; Kajabi</t>
        </is>
      </c>
      <c r="I58" s="199" t="n"/>
      <c r="J58" s="264" t="n"/>
      <c r="K58" s="200" t="n"/>
    </row>
    <row r="59">
      <c r="A59" s="265" t="n">
        <v>36</v>
      </c>
      <c r="B59" s="201" t="inlineStr">
        <is>
          <t>D_Zen Takai_flow-cc-s7</t>
        </is>
      </c>
      <c r="C59" s="194" t="n">
        <v>0.02128472222222222</v>
      </c>
      <c r="D59" s="260" t="n">
        <v>3262</v>
      </c>
      <c r="E59" s="260" t="n">
        <v>19326</v>
      </c>
      <c r="F59" s="260" t="inlineStr">
        <is>
          <t>1 male</t>
        </is>
      </c>
      <c r="G59" s="277" t="inlineStr">
        <is>
          <t>-</t>
        </is>
      </c>
      <c r="H59" s="278" t="inlineStr">
        <is>
          <t>Website &amp; Kajabi</t>
        </is>
      </c>
      <c r="I59" s="199" t="n"/>
      <c r="J59" s="264" t="n"/>
      <c r="K59" s="200" t="n"/>
    </row>
    <row r="60">
      <c r="A60" s="265" t="n">
        <v>37</v>
      </c>
      <c r="B60" s="198" t="inlineStr">
        <is>
          <t>D_Oliver Tappe_flow-cc-s7</t>
        </is>
      </c>
      <c r="C60" s="194" t="n">
        <v>0.0415162037037037</v>
      </c>
      <c r="D60" s="260" t="n">
        <v>4736</v>
      </c>
      <c r="E60" s="260" t="n">
        <v>27972</v>
      </c>
      <c r="F60" s="260" t="inlineStr">
        <is>
          <t>1 male</t>
        </is>
      </c>
      <c r="G60" s="277" t="inlineStr">
        <is>
          <t>-</t>
        </is>
      </c>
      <c r="H60" s="278" t="inlineStr">
        <is>
          <t>Website &amp; Kajabi</t>
        </is>
      </c>
      <c r="I60" s="199" t="n"/>
      <c r="J60" s="264" t="n"/>
      <c r="K60" s="200" t="n"/>
    </row>
    <row r="61">
      <c r="A61" s="265" t="n">
        <v>38</v>
      </c>
      <c r="B61" s="198" t="inlineStr">
        <is>
          <t>D_Eckhart Tolle_flow-cc-s7</t>
        </is>
      </c>
      <c r="C61" s="194" t="n">
        <v>0.02135416666666667</v>
      </c>
      <c r="D61" s="260" t="n">
        <v>2885</v>
      </c>
      <c r="E61" s="260" t="n">
        <v>31991</v>
      </c>
      <c r="F61" s="260" t="inlineStr">
        <is>
          <t>1 male</t>
        </is>
      </c>
      <c r="G61" s="277" t="inlineStr">
        <is>
          <t>-</t>
        </is>
      </c>
      <c r="H61" s="278" t="inlineStr">
        <is>
          <t>Website &amp; Kajabi</t>
        </is>
      </c>
      <c r="I61" s="199" t="n"/>
      <c r="J61" s="264" t="n"/>
      <c r="K61" s="200" t="n"/>
    </row>
    <row r="62">
      <c r="A62" s="265" t="n">
        <v>39</v>
      </c>
      <c r="B62" s="198" t="inlineStr">
        <is>
          <t>D_Andreas Goldemann_flow-cc-s7</t>
        </is>
      </c>
      <c r="C62" s="194" t="n">
        <v>0.0274537037037037</v>
      </c>
      <c r="D62" s="260" t="inlineStr">
        <is>
          <t>flo</t>
        </is>
      </c>
      <c r="E62" s="260" t="n"/>
      <c r="F62" s="260" t="inlineStr">
        <is>
          <t>1 male</t>
        </is>
      </c>
      <c r="G62" s="277" t="inlineStr">
        <is>
          <t>-</t>
        </is>
      </c>
      <c r="H62" s="278" t="inlineStr">
        <is>
          <t>Website &amp; Kajabi</t>
        </is>
      </c>
      <c r="I62" s="199" t="n"/>
      <c r="J62" s="264" t="n"/>
      <c r="K62" s="200" t="n"/>
    </row>
    <row r="63" ht="21" customFormat="1" customHeight="1" s="193">
      <c r="B63" s="189" t="inlineStr">
        <is>
          <t>Bonus Content</t>
        </is>
      </c>
      <c r="C63" s="190">
        <f>SUM(C64:C67)</f>
        <v/>
      </c>
      <c r="D63" s="191">
        <f>SUM(D64:D67)</f>
        <v/>
      </c>
      <c r="E63" s="191">
        <f>SUM(E64:E67)</f>
        <v/>
      </c>
      <c r="F63" s="191" t="n"/>
      <c r="G63" s="191" t="n"/>
      <c r="H63" s="276" t="n"/>
    </row>
    <row r="64">
      <c r="A64" s="265" t="n">
        <v>40</v>
      </c>
      <c r="B64" s="212" t="inlineStr">
        <is>
          <t>Louise Hay – You can Heal Your Life</t>
        </is>
      </c>
      <c r="C64" s="194" t="n">
        <v>0</v>
      </c>
      <c r="D64" s="260" t="n"/>
      <c r="E64" s="260" t="n"/>
      <c r="F64" s="260" t="n"/>
      <c r="G64" s="277" t="n"/>
      <c r="H64" s="279" t="inlineStr">
        <is>
          <t>Kajabi</t>
        </is>
      </c>
      <c r="I64" s="264" t="n"/>
      <c r="J64" s="264" t="n"/>
      <c r="K64" s="264" t="n"/>
    </row>
    <row r="65">
      <c r="A65" s="265" t="n">
        <v>41</v>
      </c>
      <c r="B65" s="212" t="inlineStr">
        <is>
          <t xml:space="preserve">Alex Loyd – The Psychology of Disease  </t>
        </is>
      </c>
      <c r="C65" s="194" t="n">
        <v>0</v>
      </c>
      <c r="D65" s="260" t="n"/>
      <c r="E65" s="260" t="n"/>
      <c r="F65" s="260" t="n"/>
      <c r="G65" s="277" t="n"/>
      <c r="H65" s="279" t="inlineStr">
        <is>
          <t>Kajabi</t>
        </is>
      </c>
    </row>
    <row r="66">
      <c r="A66" s="265" t="n">
        <v>42</v>
      </c>
      <c r="B66" s="212" t="inlineStr">
        <is>
          <t xml:space="preserve">Matt Cooke – You are always in a state of manifestation   </t>
        </is>
      </c>
      <c r="C66" s="194" t="n">
        <v>0</v>
      </c>
      <c r="D66" s="260" t="n"/>
      <c r="E66" s="260" t="n"/>
      <c r="F66" s="260" t="n"/>
      <c r="G66" s="277" t="n"/>
      <c r="H66" s="279" t="inlineStr">
        <is>
          <t>Kajabi</t>
        </is>
      </c>
    </row>
    <row r="67">
      <c r="A67" s="265" t="n">
        <v>43</v>
      </c>
      <c r="B67" s="212" t="inlineStr">
        <is>
          <t xml:space="preserve">Bruce Lipton &amp; Gregg Braden – Humanity in the Age of Technology  </t>
        </is>
      </c>
      <c r="C67" s="194" t="n">
        <v>0</v>
      </c>
      <c r="D67" s="260" t="n"/>
      <c r="E67" s="260" t="n"/>
      <c r="F67" s="260" t="n"/>
      <c r="G67" s="277" t="n"/>
      <c r="H67" s="279" t="inlineStr">
        <is>
          <t>Kajabi</t>
        </is>
      </c>
    </row>
    <row r="68" ht="27" customHeight="1">
      <c r="A68" s="265" t="n">
        <v>44</v>
      </c>
      <c r="B68" s="212" t="inlineStr">
        <is>
          <t xml:space="preserve">"Tuning into new potentials" - Foundations course with Dr Joe Dispenza  </t>
        </is>
      </c>
      <c r="C68" s="194" t="n">
        <v>0</v>
      </c>
      <c r="D68" s="260" t="n"/>
      <c r="E68" s="260" t="n"/>
      <c r="F68" s="260" t="n"/>
      <c r="G68" s="277" t="n"/>
      <c r="H68" s="279" t="inlineStr">
        <is>
          <t>Kajabi</t>
        </is>
      </c>
    </row>
    <row r="69" ht="27" customHeight="1">
      <c r="A69" s="265" t="n">
        <v>45</v>
      </c>
      <c r="B69" s="212" t="inlineStr">
        <is>
          <t>Sound Healing Frequencies | Deep Relaxation | Chakra Healing (long version)</t>
        </is>
      </c>
      <c r="C69" s="194" t="n">
        <v>0</v>
      </c>
      <c r="D69" s="260" t="inlineStr">
        <is>
          <t>-</t>
        </is>
      </c>
      <c r="E69" s="260" t="inlineStr">
        <is>
          <t>-</t>
        </is>
      </c>
      <c r="F69" s="260" t="inlineStr">
        <is>
          <t>-</t>
        </is>
      </c>
      <c r="G69" s="277" t="inlineStr">
        <is>
          <t>-</t>
        </is>
      </c>
      <c r="H69" s="279" t="inlineStr">
        <is>
          <t>Kajabi</t>
        </is>
      </c>
    </row>
    <row r="70">
      <c r="A70" s="265" t="n">
        <v>46</v>
      </c>
      <c r="B70" s="212" t="inlineStr">
        <is>
          <t xml:space="preserve">Bonus 1 – Local Speaker  </t>
        </is>
      </c>
      <c r="C70" s="194" t="n">
        <v>0</v>
      </c>
      <c r="D70" s="260" t="n"/>
      <c r="E70" s="260" t="n"/>
      <c r="F70" s="260" t="n"/>
      <c r="G70" s="277" t="inlineStr">
        <is>
          <t>-</t>
        </is>
      </c>
      <c r="H70" s="279" t="inlineStr">
        <is>
          <t>Kajabi</t>
        </is>
      </c>
    </row>
    <row r="71">
      <c r="A71" s="265" t="n">
        <v>47</v>
      </c>
      <c r="B71" s="212" t="inlineStr">
        <is>
          <t xml:space="preserve">Bonus 2 – Local Speaker </t>
        </is>
      </c>
      <c r="C71" s="194" t="n">
        <v>0</v>
      </c>
      <c r="D71" s="260" t="n"/>
      <c r="E71" s="260" t="n"/>
      <c r="F71" s="260" t="n"/>
      <c r="G71" s="277" t="inlineStr">
        <is>
          <t>-</t>
        </is>
      </c>
      <c r="H71" s="279" t="inlineStr">
        <is>
          <t>Kajabi</t>
        </is>
      </c>
    </row>
    <row r="72" ht="21" customHeight="1">
      <c r="A72" s="264" t="n"/>
      <c r="B72" s="189" t="inlineStr">
        <is>
          <t>Grand Total</t>
        </is>
      </c>
      <c r="C72" s="205">
        <f>C3+#REF!+C23+C63</f>
        <v/>
      </c>
      <c r="D72" s="206">
        <f>#REF!+D23+D63</f>
        <v/>
      </c>
      <c r="E72" s="206">
        <f>#REF!+E23+E63</f>
        <v/>
      </c>
      <c r="F72" s="205" t="n"/>
      <c r="G72" s="205" t="n"/>
      <c r="H72" s="276" t="n"/>
    </row>
    <row r="73">
      <c r="A73" s="264" t="n"/>
      <c r="B73" s="264" t="n"/>
      <c r="C73" s="266" t="n"/>
      <c r="D73" s="260" t="n"/>
      <c r="E73" s="260" t="n"/>
      <c r="F73" s="260" t="n"/>
      <c r="G73" s="260" t="n"/>
      <c r="H73" s="267" t="n"/>
    </row>
    <row r="74">
      <c r="A74" s="264" t="n"/>
      <c r="B74" s="264" t="n"/>
      <c r="C74" s="266" t="n"/>
      <c r="D74" s="260" t="n"/>
      <c r="E74" s="260" t="n"/>
      <c r="F74" s="260" t="n"/>
      <c r="G74" s="260" t="n"/>
      <c r="H74" s="267" t="n"/>
    </row>
    <row r="75">
      <c r="A75" s="264" t="n"/>
      <c r="B75" s="264" t="n"/>
      <c r="C75" s="266" t="n"/>
      <c r="D75" s="260" t="n"/>
      <c r="E75" s="260" t="n"/>
      <c r="F75" s="260" t="n"/>
      <c r="G75" s="260" t="n"/>
      <c r="H75" s="267" t="n"/>
    </row>
    <row r="76">
      <c r="A76" s="264" t="n"/>
      <c r="B76" s="264" t="n"/>
      <c r="C76" s="266" t="n"/>
      <c r="D76" s="260" t="n"/>
      <c r="E76" s="260" t="n"/>
      <c r="F76" s="260" t="n"/>
      <c r="G76" s="260" t="n"/>
      <c r="H76" s="267" t="n"/>
    </row>
    <row r="77">
      <c r="A77" s="264" t="n"/>
      <c r="B77" s="264" t="n"/>
      <c r="C77" s="266" t="n"/>
      <c r="D77" s="260" t="n"/>
      <c r="E77" s="260" t="n"/>
      <c r="F77" s="260" t="n"/>
      <c r="G77" s="260" t="n"/>
      <c r="H77" s="267" t="n"/>
    </row>
    <row r="78">
      <c r="A78" s="264" t="n"/>
      <c r="B78" s="264" t="n"/>
      <c r="C78" s="266" t="n"/>
      <c r="D78" s="260" t="n"/>
      <c r="F78" s="260" t="n"/>
      <c r="G78" s="260" t="n"/>
      <c r="H78" s="267" t="n"/>
    </row>
    <row r="79">
      <c r="A79" s="264" t="n"/>
      <c r="B79" s="264" t="n"/>
      <c r="C79" s="266" t="n"/>
      <c r="D79" s="260" t="n"/>
      <c r="E79" s="260" t="n"/>
      <c r="F79" s="260" t="n"/>
      <c r="G79" s="260" t="n"/>
      <c r="H79" s="267" t="n"/>
    </row>
    <row r="80">
      <c r="A80" s="264" t="n"/>
      <c r="B80" s="264" t="n"/>
      <c r="C80" s="266" t="n"/>
      <c r="D80" s="260" t="n"/>
      <c r="E80" s="260" t="n"/>
      <c r="F80" s="260" t="n"/>
      <c r="G80" s="260" t="n"/>
      <c r="H80" s="267" t="n"/>
    </row>
    <row r="81">
      <c r="D81" s="260" t="n"/>
      <c r="F81" s="260" t="n"/>
      <c r="G81" s="260" t="n"/>
    </row>
    <row r="82">
      <c r="D82" s="260" t="n"/>
      <c r="E82" s="260" t="n"/>
      <c r="F82" s="260" t="n"/>
      <c r="G82" s="260" t="n"/>
    </row>
    <row r="83">
      <c r="D83" s="260" t="n"/>
      <c r="E83" s="260" t="n"/>
      <c r="F83" s="260" t="n"/>
      <c r="G83" s="260" t="n"/>
    </row>
    <row r="84">
      <c r="D84" s="260" t="n"/>
      <c r="E84" s="260" t="n"/>
      <c r="F84" s="260" t="n"/>
      <c r="G84" s="260" t="n"/>
    </row>
    <row r="85">
      <c r="D85" s="260" t="n"/>
      <c r="E85" s="260" t="n"/>
      <c r="F85" s="260" t="n"/>
      <c r="G85" s="260" t="n"/>
    </row>
    <row r="86">
      <c r="D86" s="260" t="n"/>
      <c r="E86" s="260" t="n"/>
      <c r="F86" s="260" t="n"/>
      <c r="G86" s="260" t="n"/>
    </row>
    <row r="87">
      <c r="D87" s="260" t="n"/>
      <c r="E87" s="260" t="n"/>
      <c r="F87" s="260" t="n"/>
      <c r="G87" s="260" t="n"/>
    </row>
    <row r="88">
      <c r="D88" s="260" t="n"/>
      <c r="E88" s="260" t="n"/>
      <c r="F88" s="260" t="n"/>
      <c r="G88" s="260" t="n"/>
    </row>
    <row r="89">
      <c r="D89" s="260" t="n"/>
      <c r="F89" s="260" t="n"/>
      <c r="G89" s="260" t="n"/>
    </row>
    <row r="90">
      <c r="D90" s="260" t="n"/>
      <c r="E90" s="260" t="n"/>
      <c r="F90" s="260" t="n"/>
      <c r="G90" s="260" t="n"/>
    </row>
    <row r="91">
      <c r="D91" s="260" t="n"/>
      <c r="E91" s="260" t="n"/>
      <c r="F91" s="260" t="n"/>
      <c r="G91" s="260" t="n"/>
    </row>
    <row r="92">
      <c r="D92" s="260" t="n"/>
      <c r="F92" s="260" t="n"/>
      <c r="G92" s="260" t="n"/>
    </row>
    <row r="93">
      <c r="D93" s="260" t="n"/>
      <c r="E93" s="260" t="n"/>
      <c r="F93" s="260" t="n"/>
      <c r="G93" s="260" t="n"/>
    </row>
    <row r="94">
      <c r="D94" s="260" t="n"/>
      <c r="E94" s="260" t="n"/>
      <c r="F94" s="260" t="n"/>
      <c r="G94" s="260" t="n"/>
    </row>
    <row r="95">
      <c r="D95" s="260" t="n"/>
      <c r="F95" s="260" t="n"/>
      <c r="G95" s="260" t="n"/>
    </row>
    <row r="96">
      <c r="D96" s="260" t="n"/>
      <c r="E96" s="260" t="n"/>
      <c r="F96" s="260" t="n"/>
      <c r="G96" s="260" t="n"/>
    </row>
    <row r="97">
      <c r="D97" s="260" t="n"/>
      <c r="E97" s="260" t="n"/>
      <c r="F97" s="260" t="n"/>
      <c r="G97" s="260" t="n"/>
    </row>
    <row r="98">
      <c r="D98" s="260" t="n"/>
      <c r="F98" s="260" t="n"/>
      <c r="G98" s="260" t="n"/>
    </row>
    <row r="99">
      <c r="D99" s="260" t="n"/>
      <c r="E99" s="260" t="n"/>
      <c r="F99" s="260" t="n"/>
      <c r="G99" s="260" t="n"/>
    </row>
    <row r="100">
      <c r="D100" s="260" t="n"/>
      <c r="E100" s="260" t="n"/>
      <c r="F100" s="260" t="n"/>
      <c r="G100" s="260" t="n"/>
    </row>
    <row r="101">
      <c r="D101" s="260" t="n"/>
      <c r="E101" s="260" t="n"/>
      <c r="F101" s="260" t="n"/>
      <c r="G101" s="260" t="n"/>
    </row>
    <row r="102">
      <c r="D102" s="260" t="n"/>
      <c r="E102" s="260" t="n"/>
      <c r="F102" s="260" t="n"/>
      <c r="G102" s="260" t="n"/>
    </row>
    <row r="103">
      <c r="D103" s="260" t="n"/>
      <c r="E103" s="260" t="n"/>
      <c r="F103" s="260" t="n"/>
      <c r="G103" s="260" t="n"/>
    </row>
    <row r="104">
      <c r="D104" s="260" t="n"/>
      <c r="E104" s="260" t="n"/>
      <c r="F104" s="260" t="n"/>
      <c r="G104" s="260" t="n"/>
    </row>
    <row r="105" ht="21" customHeight="1">
      <c r="D105" s="208" t="n"/>
      <c r="E105" s="208" t="n"/>
      <c r="F105" s="208" t="n"/>
      <c r="G105" s="208" t="n"/>
    </row>
    <row r="106">
      <c r="D106" s="194" t="n"/>
      <c r="E106" s="194" t="n"/>
      <c r="F106" s="194" t="n"/>
      <c r="G106" s="194" t="n"/>
    </row>
    <row r="107">
      <c r="D107" s="260" t="n"/>
      <c r="E107" s="260" t="n"/>
      <c r="F107" s="260" t="n"/>
      <c r="G107" s="260" t="n"/>
    </row>
    <row r="108">
      <c r="D108" s="260" t="n"/>
      <c r="E108" s="260" t="n"/>
      <c r="F108" s="260" t="n"/>
      <c r="G108" s="260" t="n"/>
    </row>
    <row r="109">
      <c r="D109" s="260" t="n"/>
      <c r="E109" s="260" t="n"/>
      <c r="F109" s="260" t="n"/>
      <c r="G109" s="260" t="n"/>
    </row>
    <row r="110">
      <c r="D110" s="194" t="n"/>
      <c r="E110" s="194" t="n"/>
      <c r="F110" s="194" t="n"/>
      <c r="G110" s="194" t="n"/>
    </row>
    <row r="111">
      <c r="D111" s="268" t="n"/>
      <c r="E111" s="268" t="n"/>
      <c r="F111" s="268" t="n"/>
      <c r="G111" s="268" t="n"/>
    </row>
    <row r="112" ht="21" customHeight="1">
      <c r="D112" s="208" t="n"/>
      <c r="E112" s="208" t="n"/>
      <c r="F112" s="208" t="n"/>
      <c r="G112" s="208" t="n"/>
    </row>
    <row r="117">
      <c r="D117" s="209" t="n"/>
      <c r="E117" s="209" t="n"/>
      <c r="F117" s="210" t="n"/>
      <c r="G117" s="210" t="n"/>
    </row>
    <row r="118">
      <c r="D118" s="209" t="n"/>
      <c r="E118" s="209" t="n"/>
      <c r="F118" s="210" t="n"/>
      <c r="G118" s="210" t="n"/>
    </row>
    <row r="119">
      <c r="D119" s="209" t="n"/>
      <c r="E119" s="209" t="n"/>
      <c r="F119" s="210" t="n"/>
      <c r="G119" s="210" t="n"/>
    </row>
    <row r="120">
      <c r="D120" s="209" t="n"/>
      <c r="E120" s="209" t="n"/>
      <c r="F120" s="210" t="n"/>
      <c r="G120" s="210" t="n"/>
    </row>
    <row r="121">
      <c r="D121" s="209" t="n"/>
      <c r="E121" s="209" t="n"/>
      <c r="F121" s="210" t="n"/>
      <c r="G121" s="210" t="n"/>
    </row>
    <row r="122">
      <c r="D122" s="209" t="n"/>
      <c r="E122" s="209" t="n"/>
      <c r="F122" s="210" t="n"/>
      <c r="G122" s="210" t="n"/>
    </row>
    <row r="123">
      <c r="D123" s="209" t="n"/>
      <c r="E123" s="209" t="n"/>
      <c r="F123" s="210" t="n"/>
      <c r="G123" s="210" t="n"/>
    </row>
  </sheetData>
  <mergeCells count="7">
    <mergeCell ref="D92:E92"/>
    <mergeCell ref="D95:E95"/>
    <mergeCell ref="C2:H2"/>
    <mergeCell ref="D78:E78"/>
    <mergeCell ref="D98:E98"/>
    <mergeCell ref="D81:E81"/>
    <mergeCell ref="D89:E89"/>
  </mergeCells>
  <conditionalFormatting sqref="C1 C64:C71">
    <cfRule type="containsText" priority="148" operator="containsText" dxfId="66" text="x">
      <formula>NOT(ISERROR(SEARCH("x",C1)))</formula>
    </cfRule>
  </conditionalFormatting>
  <conditionalFormatting sqref="C4:C22">
    <cfRule type="containsText" priority="15" operator="containsText" dxfId="66" text="x">
      <formula>NOT(ISERROR(SEARCH("x",C4)))</formula>
    </cfRule>
  </conditionalFormatting>
  <conditionalFormatting sqref="C60:C62">
    <cfRule type="containsText" priority="76" operator="containsText" dxfId="66" text="x">
      <formula>NOT(ISERROR(SEARCH("x",C60)))</formula>
    </cfRule>
  </conditionalFormatting>
  <conditionalFormatting sqref="C74:C77 C82:C88">
    <cfRule type="containsText" priority="37" operator="containsText" dxfId="66" text="x">
      <formula>NOT(ISERROR(SEARCH("x",C74)))</formula>
    </cfRule>
  </conditionalFormatting>
  <conditionalFormatting sqref="D78">
    <cfRule type="containsText" priority="39" operator="containsText" dxfId="66" text="x">
      <formula>NOT(ISERROR(SEARCH("x",D78)))</formula>
    </cfRule>
  </conditionalFormatting>
  <conditionalFormatting sqref="D81">
    <cfRule type="containsText" priority="41" operator="containsText" dxfId="66" text="x">
      <formula>NOT(ISERROR(SEARCH("x",D81)))</formula>
    </cfRule>
  </conditionalFormatting>
  <conditionalFormatting sqref="D89">
    <cfRule type="containsText" priority="60" operator="containsText" dxfId="66" text="x">
      <formula>NOT(ISERROR(SEARCH("x",D89)))</formula>
    </cfRule>
  </conditionalFormatting>
  <conditionalFormatting sqref="D92">
    <cfRule type="containsText" priority="62" operator="containsText" dxfId="66" text="x">
      <formula>NOT(ISERROR(SEARCH("x",D92)))</formula>
    </cfRule>
  </conditionalFormatting>
  <conditionalFormatting sqref="D95">
    <cfRule type="containsText" priority="64" operator="containsText" dxfId="66" text="x">
      <formula>NOT(ISERROR(SEARCH("x",D95)))</formula>
    </cfRule>
  </conditionalFormatting>
  <conditionalFormatting sqref="D98">
    <cfRule type="containsText" priority="66" operator="containsText" dxfId="66" text="x">
      <formula>NOT(ISERROR(SEARCH("x",D98)))</formula>
    </cfRule>
  </conditionalFormatting>
  <conditionalFormatting sqref="F1:G1">
    <cfRule type="containsText" priority="35" operator="containsText" dxfId="66" text="x">
      <formula>NOT(ISERROR(SEARCH("x",F1)))</formula>
    </cfRule>
  </conditionalFormatting>
  <conditionalFormatting sqref="H1:H1048576">
    <cfRule type="containsText" priority="18" operator="containsText" dxfId="90" text="Facebook">
      <formula>NOT(ISERROR(SEARCH("Facebook",H1)))</formula>
    </cfRule>
    <cfRule type="containsText" priority="19" operator="containsText" dxfId="89" text="&amp;">
      <formula>NOT(ISERROR(SEARCH("&amp;",H1)))</formula>
    </cfRule>
    <cfRule type="containsText" priority="20" operator="containsText" dxfId="88" text="Kajabi">
      <formula>NOT(ISERROR(SEARCH("Kajabi",H1)))</formula>
    </cfRule>
    <cfRule type="containsText" priority="21" operator="containsText" dxfId="87" text="Website">
      <formula>NOT(ISERROR(SEARCH("Website",H1)))</formula>
    </cfRule>
  </conditionalFormatting>
  <conditionalFormatting sqref="C24:C31">
    <cfRule type="containsText" priority="10" operator="containsText" dxfId="66" text="x">
      <formula>NOT(ISERROR(SEARCH("x",C24)))</formula>
    </cfRule>
  </conditionalFormatting>
  <conditionalFormatting sqref="C35:C37 C39:C48">
    <cfRule type="containsText" priority="8" operator="containsText" dxfId="66" text="x">
      <formula>NOT(ISERROR(SEARCH("x",C35)))</formula>
    </cfRule>
  </conditionalFormatting>
  <conditionalFormatting sqref="C49:C55">
    <cfRule type="containsText" priority="6" operator="containsText" dxfId="66" text="x">
      <formula>NOT(ISERROR(SEARCH("x",C49)))</formula>
    </cfRule>
  </conditionalFormatting>
  <conditionalFormatting sqref="C56:C59">
    <cfRule type="containsText" priority="4" operator="containsText" dxfId="66" text="x">
      <formula>NOT(ISERROR(SEARCH("x",C56)))</formula>
    </cfRule>
  </conditionalFormatting>
  <conditionalFormatting sqref="C38">
    <cfRule type="containsText" priority="2" operator="containsText" dxfId="66" text="x">
      <formula>NOT(ISERROR(SEARCH("x",C38)))</formula>
    </cfRule>
  </conditionalFormatting>
  <hyperlinks>
    <hyperlink xmlns:r="http://schemas.openxmlformats.org/officeDocument/2006/relationships" ref="C2" display="https://www.dropbox.com/scl/fo/qiriyisbn5hfqrasgzzfs/AJVaQ9yLnjZcedu2kie6qMw?rlkey=fesyfl3tynhwz2ac2t4uos21x&amp;st=vdb8u24z&amp;dl=0" r:id="rId1"/>
  </hyperlinks>
  <pageMargins left="0.7" right="0.7" top="0.787401575" bottom="0.787401575" header="0.3" footer="0.3"/>
  <pageSetup orientation="portrait" paperSize="9"/>
</worksheet>
</file>

<file path=xl/worksheets/sheet3.xml><?xml version="1.0" encoding="utf-8"?>
<worksheet xmlns="http://schemas.openxmlformats.org/spreadsheetml/2006/main">
  <sheetPr>
    <tabColor rgb="FFFF0000"/>
    <outlinePr summaryBelow="1" summaryRight="1"/>
    <pageSetUpPr/>
  </sheetPr>
  <dimension ref="B1:H31"/>
  <sheetViews>
    <sheetView showGridLines="0" workbookViewId="0">
      <pane ySplit="2" topLeftCell="B12" activePane="bottomLeft" state="frozen"/>
      <selection pane="bottomLeft" activeCell="C20" sqref="C20"/>
      <selection activeCell="G33" sqref="G33"/>
    </sheetView>
  </sheetViews>
  <sheetFormatPr baseColWidth="8" defaultColWidth="9.140625" defaultRowHeight="15"/>
  <cols>
    <col width="3.5703125" customWidth="1" min="1" max="1"/>
    <col width="6.140625" customWidth="1" style="7" min="2" max="2"/>
    <col width="19.42578125" bestFit="1" customWidth="1" min="3" max="3"/>
    <col width="40.7109375" customWidth="1" min="4" max="4"/>
    <col outlineLevel="1" width="27.140625" customWidth="1" style="7" min="5" max="5"/>
    <col width="45.28515625" customWidth="1" style="7" min="6" max="6"/>
    <col width="27.85546875" customWidth="1" style="7" min="7" max="7"/>
    <col width="45" bestFit="1" customWidth="1" min="8" max="8"/>
  </cols>
  <sheetData>
    <row r="1">
      <c r="C1" s="7" t="n"/>
      <c r="D1" s="108" t="inlineStr">
        <is>
          <t>Optin / Warm Up</t>
        </is>
      </c>
      <c r="E1" s="109" t="inlineStr">
        <is>
          <t>Free Funnel</t>
        </is>
      </c>
      <c r="F1" s="110" t="inlineStr">
        <is>
          <t xml:space="preserve">Sales </t>
        </is>
      </c>
    </row>
    <row r="2">
      <c r="C2" s="66" t="inlineStr">
        <is>
          <t>Optin phase</t>
        </is>
      </c>
      <c r="D2" s="41" t="inlineStr">
        <is>
          <t>Start Opt In</t>
        </is>
      </c>
      <c r="E2" s="41" t="inlineStr">
        <is>
          <t>Start Summit</t>
        </is>
      </c>
      <c r="F2" s="41" t="inlineStr">
        <is>
          <t>Start Sales</t>
        </is>
      </c>
      <c r="G2" s="41" t="inlineStr">
        <is>
          <t>End of Sales</t>
        </is>
      </c>
    </row>
    <row r="3">
      <c r="C3" s="72" t="inlineStr">
        <is>
          <t>2 weeks</t>
        </is>
      </c>
      <c r="D3" s="280">
        <f>Intro!A6</f>
        <v/>
      </c>
      <c r="E3" s="280">
        <f>Intro!C7</f>
        <v/>
      </c>
      <c r="F3" s="280">
        <f>Intro!C8</f>
        <v/>
      </c>
      <c r="G3" s="280">
        <f>Intro!C9</f>
        <v/>
      </c>
    </row>
    <row r="4" ht="30.75" customHeight="1">
      <c r="B4" s="30" t="inlineStr">
        <is>
          <t>#</t>
        </is>
      </c>
      <c r="C4" s="31" t="inlineStr">
        <is>
          <t>Category</t>
        </is>
      </c>
      <c r="D4" s="31" t="inlineStr">
        <is>
          <t>Email name (AC)</t>
        </is>
      </c>
      <c r="E4" s="38" t="inlineStr">
        <is>
          <t>Countdown  (T-X)</t>
        </is>
      </c>
      <c r="F4" s="38" t="inlineStr">
        <is>
          <t>Date</t>
        </is>
      </c>
      <c r="G4" s="38" t="inlineStr">
        <is>
          <t>Video Link 
(if applicable)</t>
        </is>
      </c>
      <c r="H4" s="31" t="inlineStr">
        <is>
          <t>Active Campain Link (Blueprint)</t>
        </is>
      </c>
    </row>
    <row r="5">
      <c r="B5" s="67" t="n">
        <v>1</v>
      </c>
      <c r="C5" s="68" t="inlineStr">
        <is>
          <t>optin phase</t>
        </is>
      </c>
      <c r="D5" s="68" t="inlineStr">
        <is>
          <t>optin1</t>
        </is>
      </c>
      <c r="E5" s="93" t="n">
        <v>-14</v>
      </c>
      <c r="F5" s="281">
        <f>$E$3+Table85[[#This Row],[Countdown  (T-X)]]</f>
        <v/>
      </c>
      <c r="G5" s="282" t="n"/>
      <c r="H5" s="96" t="inlineStr">
        <is>
          <t>https://psionline.activehosted.com/series/23608</t>
        </is>
      </c>
    </row>
    <row r="6">
      <c r="B6" s="67" t="n">
        <v>2</v>
      </c>
      <c r="C6" s="68" t="inlineStr">
        <is>
          <t>optin phase</t>
        </is>
      </c>
      <c r="D6" s="68" t="inlineStr">
        <is>
          <t>optin2</t>
        </is>
      </c>
      <c r="E6" s="93" t="n">
        <v>-11</v>
      </c>
      <c r="F6" s="281">
        <f>$E$3+Table85[[#This Row],[Countdown  (T-X)]]</f>
        <v/>
      </c>
      <c r="G6" s="282" t="n"/>
      <c r="H6" s="96" t="inlineStr">
        <is>
          <t>https://psionline.activehosted.com/series/23608</t>
        </is>
      </c>
    </row>
    <row r="7">
      <c r="B7" s="67" t="n">
        <v>3</v>
      </c>
      <c r="C7" s="68" t="inlineStr">
        <is>
          <t>optin phase</t>
        </is>
      </c>
      <c r="D7" s="68" t="inlineStr">
        <is>
          <t>optin3</t>
        </is>
      </c>
      <c r="E7" s="93" t="n">
        <v>-6</v>
      </c>
      <c r="F7" s="281">
        <f>$E$3+Table85[[#This Row],[Countdown  (T-X)]]</f>
        <v/>
      </c>
      <c r="G7" s="282" t="n"/>
      <c r="H7" s="96" t="inlineStr">
        <is>
          <t>https://psionline.activehosted.com/series/23608</t>
        </is>
      </c>
    </row>
    <row r="8">
      <c r="B8" s="67" t="n">
        <v>4</v>
      </c>
      <c r="C8" s="68" t="inlineStr">
        <is>
          <t>optin phase</t>
        </is>
      </c>
      <c r="D8" s="68" t="inlineStr">
        <is>
          <t>optin4</t>
        </is>
      </c>
      <c r="E8" s="93" t="n">
        <v>-3</v>
      </c>
      <c r="F8" s="281">
        <f>$E$3+Table85[[#This Row],[Countdown  (T-X)]]</f>
        <v/>
      </c>
      <c r="G8" s="282" t="n"/>
      <c r="H8" s="96" t="inlineStr">
        <is>
          <t>https://psionline.activehosted.com/series/23608</t>
        </is>
      </c>
    </row>
    <row r="9">
      <c r="B9" s="67" t="n">
        <v>5</v>
      </c>
      <c r="C9" s="68" t="inlineStr">
        <is>
          <t>optin phase</t>
        </is>
      </c>
      <c r="D9" s="68" t="inlineStr">
        <is>
          <t>optin5</t>
        </is>
      </c>
      <c r="E9" s="93" t="n">
        <v>0</v>
      </c>
      <c r="F9" s="281">
        <f>$E$3+Table85[[#This Row],[Countdown  (T-X)]]</f>
        <v/>
      </c>
      <c r="G9" s="282" t="n"/>
      <c r="H9" s="96" t="inlineStr">
        <is>
          <t>https://psionline.activehosted.com/series/23608</t>
        </is>
      </c>
    </row>
    <row r="10">
      <c r="B10" s="67" t="n">
        <v>6</v>
      </c>
      <c r="C10" s="68" t="inlineStr">
        <is>
          <t>warmup phase</t>
        </is>
      </c>
      <c r="D10" s="68" t="inlineStr">
        <is>
          <t>warmup1</t>
        </is>
      </c>
      <c r="E10" s="93" t="n">
        <v>-10</v>
      </c>
      <c r="F10" s="281">
        <f>$E$3+Table85[[#This Row],[Countdown  (T-X)]]</f>
        <v/>
      </c>
      <c r="G10" s="283" t="n"/>
      <c r="H10" s="96" t="inlineStr">
        <is>
          <t>https://psionline.activehosted.com/series/23610</t>
        </is>
      </c>
    </row>
    <row r="11">
      <c r="B11" s="67" t="n">
        <v>7</v>
      </c>
      <c r="C11" s="68" t="inlineStr">
        <is>
          <t>warmup phase</t>
        </is>
      </c>
      <c r="D11" s="68" t="inlineStr">
        <is>
          <t>warmup2</t>
        </is>
      </c>
      <c r="E11" s="93" t="n">
        <v>-7</v>
      </c>
      <c r="F11" s="281">
        <f>$E$3+Table85[[#This Row],[Countdown  (T-X)]]</f>
        <v/>
      </c>
      <c r="G11" s="283" t="n"/>
      <c r="H11" s="96" t="inlineStr">
        <is>
          <t>https://psionline.activehosted.com/series/23610</t>
        </is>
      </c>
    </row>
    <row r="12">
      <c r="B12" s="67" t="n">
        <v>8</v>
      </c>
      <c r="C12" s="68" t="inlineStr">
        <is>
          <t>warmup phase</t>
        </is>
      </c>
      <c r="D12" s="68" t="inlineStr">
        <is>
          <t>warmup3</t>
        </is>
      </c>
      <c r="E12" s="93" t="n">
        <v>-4</v>
      </c>
      <c r="F12" s="281">
        <f>$E$3+Table85[[#This Row],[Countdown  (T-X)]]</f>
        <v/>
      </c>
      <c r="G12" s="283" t="n"/>
      <c r="H12" s="96" t="inlineStr">
        <is>
          <t>https://psionline.activehosted.com/series/23610</t>
        </is>
      </c>
    </row>
    <row r="13">
      <c r="B13" s="94" t="n">
        <v>9</v>
      </c>
      <c r="C13" s="69" t="inlineStr">
        <is>
          <t>after optin</t>
        </is>
      </c>
      <c r="D13" s="69" t="inlineStr">
        <is>
          <t>Welcome</t>
        </is>
      </c>
      <c r="E13" s="94" t="inlineStr">
        <is>
          <t>N/A</t>
        </is>
      </c>
      <c r="F13" s="284" t="n"/>
      <c r="G13" s="285" t="n"/>
      <c r="H13" s="98" t="inlineStr">
        <is>
          <t>https://psionline.activehosted.com/series/23609</t>
        </is>
      </c>
    </row>
    <row r="14">
      <c r="B14" s="94" t="n">
        <v>10</v>
      </c>
      <c r="C14" s="69" t="inlineStr">
        <is>
          <t>day 0</t>
        </is>
      </c>
      <c r="D14" s="69" t="inlineStr">
        <is>
          <t>Tomorrow we start</t>
        </is>
      </c>
      <c r="E14" s="94" t="n">
        <v>-1</v>
      </c>
      <c r="F14" s="284">
        <f>$E$3+Table85[[#This Row],[Countdown  (T-X)]]</f>
        <v/>
      </c>
      <c r="G14" s="285" t="n"/>
      <c r="H14" s="98" t="inlineStr">
        <is>
          <t>https://psionline.activehosted.com/series/23609</t>
        </is>
      </c>
    </row>
    <row r="15">
      <c r="B15" s="94" t="n">
        <v>11</v>
      </c>
      <c r="C15" s="69" t="inlineStr">
        <is>
          <t>day 1</t>
        </is>
      </c>
      <c r="D15" s="69" t="inlineStr">
        <is>
          <t>Day 1</t>
        </is>
      </c>
      <c r="E15" s="94" t="n">
        <v>0</v>
      </c>
      <c r="F15" s="284">
        <f>$E$3+Table85[[#This Row],[Countdown  (T-X)]]</f>
        <v/>
      </c>
      <c r="G15" s="285" t="n"/>
      <c r="H15" s="98" t="inlineStr">
        <is>
          <t>https://psionline.activehosted.com/series/23609</t>
        </is>
      </c>
    </row>
    <row r="16">
      <c r="B16" s="94" t="n">
        <v>12</v>
      </c>
      <c r="C16" s="69" t="inlineStr">
        <is>
          <t>day 1</t>
        </is>
      </c>
      <c r="D16" s="69" t="inlineStr">
        <is>
          <t>How was it? / Teaser</t>
        </is>
      </c>
      <c r="E16" s="94" t="n">
        <v>0</v>
      </c>
      <c r="F16" s="284">
        <f>$E$3+Table85[[#This Row],[Countdown  (T-X)]]</f>
        <v/>
      </c>
      <c r="G16" s="285" t="n"/>
      <c r="H16" s="98" t="inlineStr">
        <is>
          <t>https://psionline.activehosted.com/series/23609</t>
        </is>
      </c>
    </row>
    <row r="17">
      <c r="B17" s="94" t="n">
        <v>13</v>
      </c>
      <c r="C17" s="69" t="inlineStr">
        <is>
          <t>day 2</t>
        </is>
      </c>
      <c r="D17" s="69" t="inlineStr">
        <is>
          <t>Day 2</t>
        </is>
      </c>
      <c r="E17" s="94" t="n">
        <v>1</v>
      </c>
      <c r="F17" s="284">
        <f>$E$3+Table85[[#This Row],[Countdown  (T-X)]]</f>
        <v/>
      </c>
      <c r="G17" s="285" t="n"/>
      <c r="H17" s="98" t="inlineStr">
        <is>
          <t>https://psionline.activehosted.com/series/23609</t>
        </is>
      </c>
    </row>
    <row r="18">
      <c r="B18" s="94" t="n">
        <v>14</v>
      </c>
      <c r="C18" s="69" t="inlineStr">
        <is>
          <t>day 3</t>
        </is>
      </c>
      <c r="D18" s="69" t="inlineStr">
        <is>
          <t>Day 3</t>
        </is>
      </c>
      <c r="E18" s="94" t="n">
        <v>2</v>
      </c>
      <c r="F18" s="284">
        <f>$E$3+Table85[[#This Row],[Countdown  (T-X)]]</f>
        <v/>
      </c>
      <c r="G18" s="285" t="n"/>
      <c r="H18" s="98" t="inlineStr">
        <is>
          <t>https://psionline.activehosted.com/series/23609</t>
        </is>
      </c>
    </row>
    <row r="19">
      <c r="B19" s="94" t="n">
        <v>15</v>
      </c>
      <c r="C19" s="69" t="inlineStr">
        <is>
          <t>day 3</t>
        </is>
      </c>
      <c r="D19" s="69" t="inlineStr">
        <is>
          <t>Sales 1</t>
        </is>
      </c>
      <c r="E19" s="94" t="n">
        <v>2</v>
      </c>
      <c r="F19" s="284">
        <f>$E$3+Table85[[#This Row],[Countdown  (T-X)]]</f>
        <v/>
      </c>
      <c r="G19" s="285" t="n"/>
      <c r="H19" s="98" t="inlineStr">
        <is>
          <t>https://psionline.activehosted.com/series/23609</t>
        </is>
      </c>
    </row>
    <row r="20">
      <c r="B20" s="94" t="n">
        <v>16</v>
      </c>
      <c r="C20" s="69" t="inlineStr">
        <is>
          <t>day 4</t>
        </is>
      </c>
      <c r="D20" s="69" t="inlineStr">
        <is>
          <t>Day 4</t>
        </is>
      </c>
      <c r="E20" s="94" t="n">
        <v>3</v>
      </c>
      <c r="F20" s="284">
        <f>$E$3+Table85[[#This Row],[Countdown  (T-X)]]</f>
        <v/>
      </c>
      <c r="G20" s="285" t="n"/>
      <c r="H20" s="98" t="inlineStr">
        <is>
          <t>https://psionline.activehosted.com/series/23609</t>
        </is>
      </c>
    </row>
    <row r="21">
      <c r="B21" s="94" t="n">
        <v>17</v>
      </c>
      <c r="C21" s="69" t="inlineStr">
        <is>
          <t>day 5</t>
        </is>
      </c>
      <c r="D21" s="69" t="inlineStr">
        <is>
          <t>Day 5</t>
        </is>
      </c>
      <c r="E21" s="94" t="n">
        <v>4</v>
      </c>
      <c r="F21" s="284">
        <f>$E$3+Table85[[#This Row],[Countdown  (T-X)]]</f>
        <v/>
      </c>
      <c r="G21" s="285" t="n"/>
      <c r="H21" s="98" t="inlineStr">
        <is>
          <t>https://psionline.activehosted.com/series/23609</t>
        </is>
      </c>
    </row>
    <row r="22">
      <c r="B22" s="94" t="n">
        <v>18</v>
      </c>
      <c r="C22" s="69" t="inlineStr">
        <is>
          <t>day 5</t>
        </is>
      </c>
      <c r="D22" s="69" t="inlineStr">
        <is>
          <t>Sales 2</t>
        </is>
      </c>
      <c r="E22" s="94" t="n">
        <v>4</v>
      </c>
      <c r="F22" s="284">
        <f>$E$3+Table85[[#This Row],[Countdown  (T-X)]]</f>
        <v/>
      </c>
      <c r="G22" s="285" t="n"/>
      <c r="H22" s="98" t="inlineStr">
        <is>
          <t>https://psionline.activehosted.com/series/23609</t>
        </is>
      </c>
    </row>
    <row r="23">
      <c r="B23" s="94" t="n">
        <v>19</v>
      </c>
      <c r="C23" s="69" t="inlineStr">
        <is>
          <t>day 6</t>
        </is>
      </c>
      <c r="D23" s="69" t="inlineStr">
        <is>
          <t>Day 6</t>
        </is>
      </c>
      <c r="E23" s="94" t="n">
        <v>5</v>
      </c>
      <c r="F23" s="284">
        <f>$E$3+Table85[[#This Row],[Countdown  (T-X)]]</f>
        <v/>
      </c>
      <c r="G23" s="285" t="n"/>
      <c r="H23" s="215" t="inlineStr">
        <is>
          <t>https://psionline.activehosted.com/series/23609</t>
        </is>
      </c>
    </row>
    <row r="24">
      <c r="B24" s="94" t="n">
        <v>20</v>
      </c>
      <c r="C24" s="69" t="inlineStr">
        <is>
          <t>day 7</t>
        </is>
      </c>
      <c r="D24" s="69" t="inlineStr">
        <is>
          <t>Day 7</t>
        </is>
      </c>
      <c r="E24" s="94" t="n">
        <v>6</v>
      </c>
      <c r="F24" s="284">
        <f>$E$3+Table85[[#This Row],[Countdown  (T-X)]]</f>
        <v/>
      </c>
      <c r="G24" s="285" t="n"/>
      <c r="H24" s="214" t="inlineStr">
        <is>
          <t>https://psionline.activehosted.com/series/23609</t>
        </is>
      </c>
    </row>
    <row r="25">
      <c r="B25" s="94" t="n">
        <v>21</v>
      </c>
      <c r="C25" s="69" t="inlineStr">
        <is>
          <t>day 8</t>
        </is>
      </c>
      <c r="D25" s="69" t="inlineStr">
        <is>
          <t>Vote Your Favorite Speaker + Sales 3</t>
        </is>
      </c>
      <c r="E25" s="94" t="n">
        <v>7</v>
      </c>
      <c r="F25" s="284">
        <f>$E$3+Table85[[#This Row],[Countdown  (T-X)]]</f>
        <v/>
      </c>
      <c r="G25" s="285" t="n"/>
      <c r="H25" s="214" t="inlineStr">
        <is>
          <t>https://psionline.activehosted.com/series/23609</t>
        </is>
      </c>
    </row>
    <row r="26">
      <c r="B26" s="94" t="n">
        <v>22</v>
      </c>
      <c r="C26" s="69" t="inlineStr">
        <is>
          <t>day 9</t>
        </is>
      </c>
      <c r="D26" s="69" t="inlineStr">
        <is>
          <t>Bonus 1 a/b/c</t>
        </is>
      </c>
      <c r="E26" s="94" t="n">
        <v>8</v>
      </c>
      <c r="F26" s="284">
        <f>$E$3+Table85[[#This Row],[Countdown  (T-X)]]</f>
        <v/>
      </c>
      <c r="G26" s="285" t="n"/>
      <c r="H26" s="214" t="inlineStr">
        <is>
          <t>https://psionline.activehosted.com/series/23609</t>
        </is>
      </c>
    </row>
    <row r="27">
      <c r="B27" s="94" t="n">
        <v>23</v>
      </c>
      <c r="C27" s="69" t="inlineStr">
        <is>
          <t>day 10</t>
        </is>
      </c>
      <c r="D27" s="69" t="inlineStr">
        <is>
          <t>Survey Results + Bonus 2</t>
        </is>
      </c>
      <c r="E27" s="94" t="n">
        <v>9</v>
      </c>
      <c r="F27" s="284">
        <f>$E$3+Table85[[#This Row],[Countdown  (T-X)]]</f>
        <v/>
      </c>
      <c r="G27" s="285" t="n"/>
      <c r="H27" s="214" t="inlineStr">
        <is>
          <t>https://psionline.activehosted.com/series/23609</t>
        </is>
      </c>
    </row>
    <row r="28">
      <c r="B28" s="94" t="n">
        <v>24</v>
      </c>
      <c r="C28" s="69" t="inlineStr">
        <is>
          <t>day 11</t>
        </is>
      </c>
      <c r="D28" s="69" t="inlineStr">
        <is>
          <t>Sales 4 + FAQ</t>
        </is>
      </c>
      <c r="E28" s="94" t="n">
        <v>10</v>
      </c>
      <c r="F28" s="284">
        <f>$E$3+Table85[[#This Row],[Countdown  (T-X)]]</f>
        <v/>
      </c>
      <c r="G28" s="285" t="n"/>
      <c r="H28" s="214" t="inlineStr">
        <is>
          <t>https://psionline.activehosted.com/series/23609</t>
        </is>
      </c>
    </row>
    <row r="29">
      <c r="B29" s="94" t="n">
        <v>25</v>
      </c>
      <c r="C29" s="69" t="inlineStr">
        <is>
          <t>day 12</t>
        </is>
      </c>
      <c r="D29" s="69" t="inlineStr">
        <is>
          <t>Sales 5 + Last Chance</t>
        </is>
      </c>
      <c r="E29" s="94" t="n">
        <v>12</v>
      </c>
      <c r="F29" s="284">
        <f>$E$3+Table85[[#This Row],[Countdown  (T-X)]]</f>
        <v/>
      </c>
      <c r="G29" s="285" t="n"/>
      <c r="H29" s="216" t="inlineStr">
        <is>
          <t>https://psionline.activehosted.com/series/23609</t>
        </is>
      </c>
    </row>
    <row r="30">
      <c r="B30" s="94" t="n">
        <v>26</v>
      </c>
      <c r="C30" s="69" t="inlineStr">
        <is>
          <t>after summit</t>
        </is>
      </c>
      <c r="D30" s="69" t="inlineStr">
        <is>
          <t>Welcome – Latecomers</t>
        </is>
      </c>
      <c r="E30" s="94" t="inlineStr">
        <is>
          <t>N/A</t>
        </is>
      </c>
      <c r="F30" s="284" t="n"/>
      <c r="G30" s="285" t="n"/>
      <c r="H30" s="98" t="inlineStr">
        <is>
          <t>https://psionline.activehosted.com/series/23609</t>
        </is>
      </c>
    </row>
    <row r="31">
      <c r="B31" s="71" t="n">
        <v>27</v>
      </c>
      <c r="C31" s="70" t="inlineStr">
        <is>
          <t>after purchase</t>
        </is>
      </c>
      <c r="D31" s="70" t="inlineStr">
        <is>
          <t>Purchase Confirmation</t>
        </is>
      </c>
      <c r="E31" s="71" t="inlineStr">
        <is>
          <t>N/A</t>
        </is>
      </c>
      <c r="F31" s="286" t="n"/>
      <c r="G31" s="287" t="n"/>
      <c r="H31" s="213" t="inlineStr">
        <is>
          <t>https://psionline.activehosted.com/series/23612</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s>
  <pageMargins left="0.7" right="0.7" top="0.75" bottom="0.75" header="0.3" footer="0.3"/>
  <pageSetup orientation="portrait" paperSize="9"/>
  <tableParts count="1">
    <tablePart xmlns:r="http://schemas.openxmlformats.org/officeDocument/2006/relationships" r:id="rId28"/>
  </tableParts>
</worksheet>
</file>

<file path=xl/worksheets/sheet4.xml><?xml version="1.0" encoding="utf-8"?>
<worksheet xmlns="http://schemas.openxmlformats.org/spreadsheetml/2006/main">
  <sheetPr>
    <tabColor rgb="FFFF0000"/>
    <outlinePr summaryBelow="1" summaryRight="1"/>
    <pageSetUpPr/>
  </sheetPr>
  <dimension ref="B1:I40"/>
  <sheetViews>
    <sheetView showGridLines="0" zoomScale="85" zoomScaleNormal="85" workbookViewId="0">
      <pane ySplit="4" topLeftCell="A25" activePane="bottomLeft" state="frozen"/>
      <selection pane="bottomLeft" activeCell="C3" sqref="C3"/>
      <selection activeCell="D30" sqref="D30"/>
    </sheetView>
  </sheetViews>
  <sheetFormatPr baseColWidth="8" defaultColWidth="47.85546875" defaultRowHeight="15"/>
  <cols>
    <col width="2.85546875" customWidth="1" min="1" max="1"/>
    <col width="8.42578125" customWidth="1" style="13" min="2" max="2"/>
    <col width="43.42578125" customWidth="1" style="13" min="3" max="3"/>
    <col width="65.140625" customWidth="1" min="4" max="4"/>
    <col width="26.7109375" customWidth="1" min="5" max="5"/>
    <col width="25.42578125" customWidth="1" min="6" max="6"/>
    <col width="40.28515625" customWidth="1" min="7" max="7"/>
    <col width="29.140625" customWidth="1" min="8" max="8"/>
    <col width="29.28515625" customWidth="1" min="9" max="9"/>
  </cols>
  <sheetData>
    <row r="1" ht="15.75" customHeight="1" thickBot="1">
      <c r="D1" s="39" t="inlineStr">
        <is>
          <t>Optional</t>
        </is>
      </c>
      <c r="E1" s="63" t="inlineStr">
        <is>
          <t>Optin / Warm Up</t>
        </is>
      </c>
      <c r="F1" s="64" t="inlineStr">
        <is>
          <t>PLC/ MC / Summit</t>
        </is>
      </c>
      <c r="G1" s="65" t="inlineStr">
        <is>
          <t xml:space="preserve">Sales </t>
        </is>
      </c>
      <c r="H1" s="65" t="inlineStr">
        <is>
          <t>Sales</t>
        </is>
      </c>
      <c r="I1" s="65" t="inlineStr">
        <is>
          <t>Sales</t>
        </is>
      </c>
    </row>
    <row r="2">
      <c r="C2" s="56" t="inlineStr">
        <is>
          <t>Enter Domain below</t>
        </is>
      </c>
      <c r="D2" s="40" t="inlineStr">
        <is>
          <t>Date to be adjusted based on open rate</t>
        </is>
      </c>
      <c r="E2" s="41" t="inlineStr">
        <is>
          <t>Beginnig of Promotion (BoP)</t>
        </is>
      </c>
      <c r="F2" s="41" t="inlineStr">
        <is>
          <t>Start of PLC/ MC / Summit</t>
        </is>
      </c>
      <c r="G2" s="41" t="inlineStr">
        <is>
          <t>Beginning of Sales (BoS)</t>
        </is>
      </c>
      <c r="H2" s="41" t="inlineStr">
        <is>
          <t>End of Sales (EoS)</t>
        </is>
      </c>
      <c r="I2" s="41" t="inlineStr">
        <is>
          <t>End of extended Sales (EoeS)</t>
        </is>
      </c>
    </row>
    <row r="3">
      <c r="C3" s="115" t="inlineStr">
        <is>
          <t xml:space="preserve">https://www.flowsummitespanol.com/ </t>
        </is>
      </c>
      <c r="D3" s="8" t="n"/>
      <c r="E3" s="288">
        <f>Intro!C6</f>
        <v/>
      </c>
      <c r="F3" s="288">
        <f>Intro!C7</f>
        <v/>
      </c>
      <c r="G3" s="288">
        <f>Intro!C8</f>
        <v/>
      </c>
      <c r="H3" s="288">
        <f>Intro!C9</f>
        <v/>
      </c>
      <c r="I3" s="288">
        <f>Intro!C10</f>
        <v/>
      </c>
    </row>
    <row r="4">
      <c r="B4" s="13" t="inlineStr">
        <is>
          <t>page #</t>
        </is>
      </c>
      <c r="C4" t="inlineStr">
        <is>
          <t>website intern/slug</t>
        </is>
      </c>
      <c r="D4" t="inlineStr">
        <is>
          <t>URL</t>
        </is>
      </c>
      <c r="E4" t="inlineStr">
        <is>
          <t>Link Video File - Template</t>
        </is>
      </c>
      <c r="F4" t="inlineStr">
        <is>
          <t>Link Video File - Actual</t>
        </is>
      </c>
      <c r="G4" t="inlineStr">
        <is>
          <t>Intern Notes</t>
        </is>
      </c>
      <c r="H4" t="inlineStr">
        <is>
          <t>YOAST SEO PAGETITEL</t>
        </is>
      </c>
    </row>
    <row r="5">
      <c r="B5" s="106" t="n">
        <v>1</v>
      </c>
      <c r="C5" s="92" t="n"/>
      <c r="D5" s="115">
        <f>$C$3&amp;Table114[[#This Row],[website intern/slug]]</f>
        <v/>
      </c>
      <c r="H5" s="105" t="inlineStr">
        <is>
          <t>k1</t>
        </is>
      </c>
    </row>
    <row r="6">
      <c r="B6" s="107" t="n">
        <v>2</v>
      </c>
      <c r="C6" s="104" t="inlineStr">
        <is>
          <t>optin/</t>
        </is>
      </c>
      <c r="D6" s="115">
        <f>$C$3&amp;Table114[[#This Row],[website intern/slug]]</f>
        <v/>
      </c>
      <c r="E6" s="4" t="n"/>
      <c r="F6" s="37" t="n"/>
      <c r="G6" s="4" t="inlineStr">
        <is>
          <t>Double Optin</t>
        </is>
      </c>
      <c r="H6" s="104" t="inlineStr">
        <is>
          <t>Sign up - Summit</t>
        </is>
      </c>
    </row>
    <row r="7">
      <c r="B7" s="106" t="inlineStr">
        <is>
          <t>3a</t>
        </is>
      </c>
      <c r="C7" s="105" t="inlineStr">
        <is>
          <t>optin-confirmation/</t>
        </is>
      </c>
      <c r="D7" s="115">
        <f>$C$3&amp;Table114[[#This Row],[website intern/slug]]</f>
        <v/>
      </c>
      <c r="F7" s="4" t="n"/>
      <c r="G7" s="4" t="inlineStr">
        <is>
          <t>Redirect after Mail confirmation</t>
        </is>
      </c>
      <c r="H7" s="105" t="inlineStr">
        <is>
          <t>Confirm Registration</t>
        </is>
      </c>
    </row>
    <row r="8">
      <c r="B8" s="107" t="inlineStr">
        <is>
          <t>3b</t>
        </is>
      </c>
      <c r="C8" s="4" t="inlineStr">
        <is>
          <t>optin-successful/?NLS=1</t>
        </is>
      </c>
      <c r="D8" s="115">
        <f>$C$3&amp;Table114[[#This Row],[website intern/slug]]</f>
        <v/>
      </c>
      <c r="E8" s="4" t="n"/>
      <c r="G8" s="4" t="n"/>
      <c r="H8" s="104" t="inlineStr">
        <is>
          <t>Registration Successful</t>
        </is>
      </c>
    </row>
    <row r="9">
      <c r="B9" s="106" t="n">
        <v>4</v>
      </c>
      <c r="C9" s="105" t="inlineStr">
        <is>
          <t>offer/</t>
        </is>
      </c>
      <c r="D9" s="115">
        <f>$C$3&amp;Table114[[#This Row],[website intern/slug]]</f>
        <v/>
      </c>
      <c r="E9" s="4" t="n"/>
      <c r="F9" s="4" t="n"/>
      <c r="G9" s="4" t="n"/>
      <c r="H9" s="105" t="inlineStr">
        <is>
          <t>Limited Offer</t>
        </is>
      </c>
    </row>
    <row r="10">
      <c r="B10" s="107" t="n">
        <v>5</v>
      </c>
      <c r="C10" s="104" t="inlineStr">
        <is>
          <t>offer-thank-you/</t>
        </is>
      </c>
      <c r="D10" s="115">
        <f>$C$3&amp;Table114[[#This Row],[website intern/slug]]</f>
        <v/>
      </c>
      <c r="E10" s="4" t="n"/>
      <c r="F10" s="4" t="n"/>
      <c r="G10" s="4" t="n"/>
      <c r="H10" s="104" t="inlineStr">
        <is>
          <t>Purchase Confirmation</t>
        </is>
      </c>
    </row>
    <row r="11">
      <c r="B11" s="106" t="n">
        <v>6</v>
      </c>
      <c r="C11" s="105" t="inlineStr">
        <is>
          <t>contact/</t>
        </is>
      </c>
      <c r="D11" s="115">
        <f>$C$3&amp;Table114[[#This Row],[website intern/slug]]</f>
        <v/>
      </c>
      <c r="E11" s="4" t="n"/>
      <c r="F11" s="4" t="n"/>
      <c r="G11" s="4" t="n"/>
      <c r="H11" s="105" t="inlineStr">
        <is>
          <t>Contact</t>
        </is>
      </c>
    </row>
    <row r="12">
      <c r="B12" s="107" t="n">
        <v>7</v>
      </c>
      <c r="C12" s="104" t="inlineStr">
        <is>
          <t>legal-notice-privacy-policy/</t>
        </is>
      </c>
      <c r="D12" s="115">
        <f>$C$3&amp;Table114[[#This Row],[website intern/slug]]</f>
        <v/>
      </c>
      <c r="E12" s="4" t="n"/>
      <c r="F12" s="4" t="n"/>
      <c r="G12" s="4" t="inlineStr">
        <is>
          <t>404 Plugin</t>
        </is>
      </c>
      <c r="H12" s="104" t="inlineStr">
        <is>
          <t>Privacy Policy</t>
        </is>
      </c>
    </row>
    <row r="13">
      <c r="B13" s="106" t="n">
        <v>8</v>
      </c>
      <c r="C13" s="105" t="inlineStr">
        <is>
          <t>404-2/</t>
        </is>
      </c>
      <c r="D13" s="115">
        <f>$C$3&amp;Table114[[#This Row],[website intern/slug]]</f>
        <v/>
      </c>
      <c r="E13" s="4" t="n"/>
      <c r="F13" s="4" t="n"/>
      <c r="G13" t="inlineStr">
        <is>
          <t>Redirection if Access is wanted and denialed</t>
        </is>
      </c>
      <c r="H13" s="105" t="inlineStr">
        <is>
          <t>Content Not Found</t>
        </is>
      </c>
    </row>
    <row r="14">
      <c r="B14" s="107" t="n">
        <v>9</v>
      </c>
      <c r="C14" s="104" t="inlineStr">
        <is>
          <t>not-yet-registered/</t>
        </is>
      </c>
      <c r="D14" s="115">
        <f>$C$3&amp;Table114[[#This Row],[website intern/slug]]</f>
        <v/>
      </c>
      <c r="F14" s="4" t="n"/>
      <c r="G14" s="4" t="n"/>
      <c r="H14" s="104" t="inlineStr">
        <is>
          <t>Not Registered</t>
        </is>
      </c>
    </row>
    <row r="15">
      <c r="B15" s="106" t="n">
        <v>10</v>
      </c>
      <c r="C15" s="105" t="inlineStr">
        <is>
          <t>vision-and-mission/</t>
        </is>
      </c>
      <c r="D15" s="115">
        <f>$C$3&amp;Table114[[#This Row],[website intern/slug]]</f>
        <v/>
      </c>
      <c r="F15" s="4" t="n"/>
      <c r="G15" s="4" t="n"/>
      <c r="H15" s="111" t="inlineStr">
        <is>
          <t>Our Values</t>
        </is>
      </c>
    </row>
    <row r="16">
      <c r="B16" s="107" t="n">
        <v>11</v>
      </c>
      <c r="C16" s="104" t="inlineStr">
        <is>
          <t>about-us/</t>
        </is>
      </c>
      <c r="D16" s="115">
        <f>$C$3&amp;Table114[[#This Row],[website intern/slug]]</f>
        <v/>
      </c>
      <c r="F16" s="4" t="n"/>
      <c r="G16" s="4" t="inlineStr">
        <is>
          <t>Single Optin</t>
        </is>
      </c>
      <c r="H16" s="112" t="inlineStr">
        <is>
          <t>About Us</t>
        </is>
      </c>
    </row>
    <row r="17">
      <c r="B17" s="106" t="n">
        <v>12</v>
      </c>
      <c r="C17" s="105" t="inlineStr">
        <is>
          <t>affiliates/</t>
        </is>
      </c>
      <c r="D17" s="115">
        <f>$C$3&amp;Table114[[#This Row],[website intern/slug]]</f>
        <v/>
      </c>
      <c r="F17" s="4" t="n"/>
      <c r="G17" s="4" t="inlineStr">
        <is>
          <t>Approval Process started</t>
        </is>
      </c>
      <c r="H17" s="104" t="inlineStr">
        <is>
          <t>Affiliate Program</t>
        </is>
      </c>
    </row>
    <row r="18">
      <c r="B18" s="107" t="inlineStr">
        <is>
          <t>12a</t>
        </is>
      </c>
      <c r="C18" s="104" t="inlineStr">
        <is>
          <t>affiliates-confirmation/</t>
        </is>
      </c>
      <c r="D18" s="115">
        <f>$C$3&amp;Table114[[#This Row],[website intern/slug]]</f>
        <v/>
      </c>
      <c r="F18" s="115" t="n"/>
      <c r="G18" s="4" t="inlineStr">
        <is>
          <t>Approval confirmed</t>
        </is>
      </c>
      <c r="H18" s="104" t="inlineStr">
        <is>
          <t>Registration Successful</t>
        </is>
      </c>
    </row>
    <row r="19">
      <c r="B19" s="106" t="inlineStr">
        <is>
          <t>12b</t>
        </is>
      </c>
      <c r="C19" s="105" t="inlineStr">
        <is>
          <t>affiliates-successful/</t>
        </is>
      </c>
      <c r="D19" s="115">
        <f>$C$3&amp;Table114[[#This Row],[website intern/slug]]</f>
        <v/>
      </c>
      <c r="F19" s="4" t="n"/>
      <c r="G19" s="4" t="inlineStr">
        <is>
          <t>Upsale</t>
        </is>
      </c>
      <c r="H19" s="104" t="inlineStr">
        <is>
          <t>Welcome</t>
        </is>
      </c>
    </row>
    <row r="20">
      <c r="B20" s="107" t="n">
        <v>13</v>
      </c>
      <c r="C20" s="104" t="inlineStr">
        <is>
          <t>snippet-1/</t>
        </is>
      </c>
      <c r="D20" s="115">
        <f>$C$3&amp;Table114[[#This Row],[website intern/slug]]</f>
        <v/>
      </c>
      <c r="E20" s="4" t="n"/>
      <c r="F20" s="4" t="n"/>
      <c r="G20" s="4" t="n"/>
      <c r="H20" s="104" t="inlineStr">
        <is>
          <t>Preview 1</t>
        </is>
      </c>
    </row>
    <row r="21">
      <c r="B21" s="106" t="n">
        <v>14</v>
      </c>
      <c r="C21" s="105" t="inlineStr">
        <is>
          <t>snippet-2/</t>
        </is>
      </c>
      <c r="D21" s="115">
        <f>$C$3&amp;Table114[[#This Row],[website intern/slug]]</f>
        <v/>
      </c>
      <c r="F21" s="4" t="n"/>
      <c r="G21" s="4" t="n"/>
      <c r="H21" s="104" t="inlineStr">
        <is>
          <t>Preview 2</t>
        </is>
      </c>
    </row>
    <row r="22">
      <c r="B22" s="107" t="n">
        <v>15</v>
      </c>
      <c r="C22" s="104" t="inlineStr">
        <is>
          <t>snippet-3/</t>
        </is>
      </c>
      <c r="D22" s="115">
        <f>$C$3&amp;Table114[[#This Row],[website intern/slug]]</f>
        <v/>
      </c>
      <c r="F22" s="4" t="n"/>
      <c r="G22" s="4" t="n"/>
      <c r="H22" s="104" t="inlineStr">
        <is>
          <t>Preview 3</t>
        </is>
      </c>
    </row>
    <row r="23">
      <c r="B23" s="107" t="inlineStr">
        <is>
          <t>X</t>
        </is>
      </c>
      <c r="C23" s="104" t="inlineStr">
        <is>
          <t>day-1/?NLS=1</t>
        </is>
      </c>
      <c r="D23" s="115">
        <f>$C$3&amp;Table114[[#This Row],[website intern/slug]]</f>
        <v/>
      </c>
      <c r="F23" s="4" t="n"/>
      <c r="G23" s="4" t="n"/>
      <c r="H23" s="104" t="inlineStr">
        <is>
          <t>Day 1</t>
        </is>
      </c>
    </row>
    <row r="24">
      <c r="B24" s="107" t="inlineStr">
        <is>
          <t>X</t>
        </is>
      </c>
      <c r="C24" s="104" t="inlineStr">
        <is>
          <t>day-2/?NLS=1</t>
        </is>
      </c>
      <c r="D24" s="115">
        <f>$C$3&amp;Table114[[#This Row],[website intern/slug]]</f>
        <v/>
      </c>
      <c r="F24" s="4" t="n"/>
      <c r="G24" s="4" t="n"/>
      <c r="H24" s="104" t="inlineStr">
        <is>
          <t>Day 2</t>
        </is>
      </c>
    </row>
    <row r="25">
      <c r="B25" s="107" t="inlineStr">
        <is>
          <t>X</t>
        </is>
      </c>
      <c r="C25" s="104" t="inlineStr">
        <is>
          <t>day-3/?NLS=1</t>
        </is>
      </c>
      <c r="D25" s="115">
        <f>$C$3&amp;Table114[[#This Row],[website intern/slug]]</f>
        <v/>
      </c>
      <c r="F25" s="4" t="n"/>
      <c r="G25" s="4" t="n"/>
      <c r="H25" s="104" t="inlineStr">
        <is>
          <t>Day 3</t>
        </is>
      </c>
    </row>
    <row r="26">
      <c r="B26" s="107" t="inlineStr">
        <is>
          <t>X</t>
        </is>
      </c>
      <c r="C26" s="104" t="inlineStr">
        <is>
          <t>day-4/?NLS=1</t>
        </is>
      </c>
      <c r="D26" s="115">
        <f>$C$3&amp;Table114[[#This Row],[website intern/slug]]</f>
        <v/>
      </c>
      <c r="F26" s="4" t="n"/>
      <c r="G26" s="4" t="n"/>
      <c r="H26" s="104" t="inlineStr">
        <is>
          <t>Day 4</t>
        </is>
      </c>
    </row>
    <row r="27">
      <c r="B27" s="107" t="inlineStr">
        <is>
          <t>X</t>
        </is>
      </c>
      <c r="C27" s="104" t="inlineStr">
        <is>
          <t>day-5/?NLS=1</t>
        </is>
      </c>
      <c r="D27" s="115">
        <f>$C$3&amp;Table114[[#This Row],[website intern/slug]]</f>
        <v/>
      </c>
      <c r="F27" s="4" t="n"/>
      <c r="G27" s="4" t="n"/>
      <c r="H27" s="104" t="inlineStr">
        <is>
          <t>Day 5</t>
        </is>
      </c>
    </row>
    <row r="28">
      <c r="B28" s="107" t="n"/>
      <c r="C28" s="104" t="inlineStr">
        <is>
          <t>day-6/?NLS=1</t>
        </is>
      </c>
      <c r="D28" s="115">
        <f>$C$3&amp;Table114[[#This Row],[website intern/slug]]</f>
        <v/>
      </c>
      <c r="F28" s="4" t="n"/>
      <c r="G28" s="4" t="n"/>
      <c r="H28" s="104" t="n"/>
    </row>
    <row r="29">
      <c r="B29" s="107" t="n"/>
      <c r="C29" s="104" t="inlineStr">
        <is>
          <t>day-7/?NLS=1</t>
        </is>
      </c>
      <c r="D29" s="115">
        <f>$C$3&amp;Table114[[#This Row],[website intern/slug]]</f>
        <v/>
      </c>
      <c r="F29" s="4" t="n"/>
      <c r="G29" s="4" t="n"/>
      <c r="H29" s="104" t="n"/>
    </row>
    <row r="30">
      <c r="B30" s="107" t="n"/>
      <c r="C30" s="217" t="inlineStr">
        <is>
          <t>bonus-1-wisdom/?NLS=1</t>
        </is>
      </c>
      <c r="D30" s="115">
        <f>$C$3&amp;Table114[[#This Row],[website intern/slug]]</f>
        <v/>
      </c>
      <c r="F30" s="4" t="n"/>
      <c r="G30" s="4" t="n"/>
      <c r="H30" s="104" t="n"/>
    </row>
    <row r="31">
      <c r="B31" s="107" t="n"/>
      <c r="C31" s="218" t="inlineStr">
        <is>
          <t>bonus-1-health/?NLS=1</t>
        </is>
      </c>
      <c r="D31" s="115">
        <f>$C$3&amp;Table114[[#This Row],[website intern/slug]]</f>
        <v/>
      </c>
      <c r="F31" s="4" t="n"/>
      <c r="G31" s="4" t="n"/>
      <c r="H31" s="104" t="n"/>
    </row>
    <row r="32">
      <c r="B32" s="107" t="n"/>
      <c r="C32" s="218" t="inlineStr">
        <is>
          <t>bonus-1-manifest/?NLS=1</t>
        </is>
      </c>
      <c r="D32" s="115">
        <f>$C$3&amp;Table114[[#This Row],[website intern/slug]]</f>
        <v/>
      </c>
      <c r="F32" s="4" t="n"/>
      <c r="G32" s="4" t="n"/>
      <c r="H32" s="104" t="n"/>
    </row>
    <row r="33">
      <c r="B33" s="107" t="n"/>
      <c r="C33" s="219" t="inlineStr">
        <is>
          <t>bonus-2/?NLS=1</t>
        </is>
      </c>
      <c r="D33" s="115">
        <f>$C$3&amp;Table114[[#This Row],[website intern/slug]]</f>
        <v/>
      </c>
      <c r="F33" s="4" t="n"/>
      <c r="G33" s="4" t="n"/>
      <c r="H33" s="104" t="n"/>
    </row>
    <row r="34">
      <c r="B34" s="107" t="inlineStr">
        <is>
          <t>X</t>
        </is>
      </c>
      <c r="C34" s="104" t="inlineStr">
        <is>
          <t>my-videos/?NLS=1</t>
        </is>
      </c>
      <c r="D34" s="115">
        <f>$C$3&amp;Table114[[#This Row],[website intern/slug]]</f>
        <v/>
      </c>
      <c r="F34" s="4" t="n"/>
      <c r="G34" s="4" t="n"/>
      <c r="H34" s="104" t="inlineStr">
        <is>
          <t>My Active Videos</t>
        </is>
      </c>
    </row>
    <row r="35">
      <c r="B35" s="107" t="n"/>
      <c r="C35" s="104" t="n"/>
      <c r="D35" s="115" t="n"/>
      <c r="F35" s="4" t="n"/>
      <c r="G35" s="4" t="n"/>
      <c r="H35" s="4" t="n"/>
    </row>
    <row r="36">
      <c r="B36" s="107" t="n"/>
      <c r="C36" s="104" t="n"/>
      <c r="D36" s="115" t="n"/>
      <c r="F36" s="4" t="n"/>
      <c r="G36" s="4" t="n"/>
      <c r="H36" s="4" t="n"/>
    </row>
    <row r="37">
      <c r="C37" s="4" t="n"/>
      <c r="D37" s="115" t="n"/>
      <c r="F37" s="4" t="n"/>
      <c r="G37" s="4" t="n"/>
      <c r="H37" s="4" t="n"/>
      <c r="I37" s="4" t="n"/>
    </row>
    <row r="38">
      <c r="C38" s="4" t="n"/>
      <c r="D38" s="115" t="n"/>
    </row>
    <row r="39">
      <c r="C39" s="4" t="n"/>
      <c r="D39" s="115" t="n"/>
    </row>
    <row r="40"/>
  </sheetData>
  <hyperlinks>
    <hyperlink xmlns:r="http://schemas.openxmlformats.org/officeDocument/2006/relationships" ref="C3" r:id="rId1"/>
    <hyperlink xmlns:r="http://schemas.openxmlformats.org/officeDocument/2006/relationships" ref="D5" display="https://greggbradenromania.com/" r:id="rId2"/>
  </hyperlinks>
  <pageMargins left="0.7" right="0.7" top="0.75" bottom="0.75" header="0.3" footer="0.3"/>
  <tableParts count="1">
    <tablePart xmlns:r="http://schemas.openxmlformats.org/officeDocument/2006/relationships" r:id="rId3"/>
  </tableParts>
</worksheet>
</file>

<file path=xl/worksheets/sheet5.xml><?xml version="1.0" encoding="utf-8"?>
<worksheet xmlns="http://schemas.openxmlformats.org/spreadsheetml/2006/main">
  <sheetPr>
    <tabColor rgb="FFFF0000"/>
    <outlinePr summaryBelow="1" summaryRight="1"/>
    <pageSetUpPr/>
  </sheetPr>
  <dimension ref="B1:I44"/>
  <sheetViews>
    <sheetView showGridLines="0" tabSelected="1" zoomScaleNormal="100" workbookViewId="0">
      <pane ySplit="2" topLeftCell="A3" activePane="bottomLeft" state="frozen"/>
      <selection pane="bottomLeft" activeCell="F6" sqref="F6"/>
      <selection activeCell="G10" sqref="G10:P25"/>
    </sheetView>
  </sheetViews>
  <sheetFormatPr baseColWidth="8" defaultColWidth="9.140625" defaultRowHeight="15"/>
  <cols>
    <col width="3.85546875" customWidth="1" style="4" min="1" max="1"/>
    <col width="28.140625" customWidth="1" min="2" max="2"/>
    <col width="55.85546875" customWidth="1" min="3" max="3"/>
    <col width="49.140625" customWidth="1" min="4" max="5"/>
    <col width="33.140625" customWidth="1" min="6" max="6"/>
    <col width="21" customWidth="1" style="4" min="7" max="7"/>
    <col width="25" customWidth="1" style="4" min="8" max="8"/>
    <col width="28.85546875" customWidth="1" style="4" min="9" max="9"/>
    <col width="9.140625" customWidth="1" style="4" min="10" max="16384"/>
  </cols>
  <sheetData>
    <row r="1">
      <c r="B1" s="4" t="n"/>
      <c r="C1" s="4" t="n"/>
      <c r="D1" s="10" t="inlineStr">
        <is>
          <t>For partners / freelancers:  please fill in</t>
        </is>
      </c>
      <c r="E1" s="10" t="n"/>
      <c r="F1" s="4" t="n"/>
    </row>
    <row r="2" customFormat="1" s="5">
      <c r="B2" s="20" t="inlineStr">
        <is>
          <t>Subcategory</t>
        </is>
      </c>
      <c r="C2" s="20" t="inlineStr">
        <is>
          <t>Original language</t>
        </is>
      </c>
      <c r="D2" s="43" t="inlineStr">
        <is>
          <t>Translated Language</t>
        </is>
      </c>
      <c r="E2" s="136" t="inlineStr">
        <is>
          <t>Sidenote</t>
        </is>
      </c>
      <c r="F2" s="21" t="inlineStr">
        <is>
          <t>BP Folder Location</t>
        </is>
      </c>
    </row>
    <row r="3" customFormat="1" s="5">
      <c r="B3" s="135" t="inlineStr">
        <is>
          <t>Website Graphics</t>
        </is>
      </c>
      <c r="C3" s="135" t="n"/>
      <c r="D3" s="132" t="n"/>
      <c r="E3" s="133" t="n"/>
      <c r="F3" s="134" t="n"/>
    </row>
    <row r="4">
      <c r="B4" s="14" t="inlineStr">
        <is>
          <t>Global (Menu-Links)</t>
        </is>
      </c>
      <c r="C4" s="17" t="inlineStr">
        <is>
          <t>Legal notice and privacy policy</t>
        </is>
      </c>
      <c r="D4" s="22" t="n"/>
      <c r="E4" s="19" t="n"/>
      <c r="F4" s="19" t="inlineStr">
        <is>
          <t>SP Folder - Website graphics</t>
        </is>
      </c>
    </row>
    <row r="5">
      <c r="B5" s="14" t="inlineStr">
        <is>
          <t>Global (Menu-Links)</t>
        </is>
      </c>
      <c r="C5" s="17" t="inlineStr">
        <is>
          <t>Contact</t>
        </is>
      </c>
      <c r="D5" s="22" t="n"/>
      <c r="E5" s="19" t="n"/>
      <c r="F5" s="19" t="n"/>
    </row>
    <row r="6">
      <c r="B6" s="14" t="inlineStr">
        <is>
          <t>Global (Menu-Links)</t>
        </is>
      </c>
      <c r="C6" s="17" t="inlineStr">
        <is>
          <t>Login</t>
        </is>
      </c>
      <c r="D6" s="22" t="n"/>
      <c r="E6" s="19" t="n"/>
      <c r="F6" s="19" t="n"/>
    </row>
    <row r="7">
      <c r="B7" s="14" t="inlineStr">
        <is>
          <t>Global (Menu-Links)</t>
        </is>
      </c>
      <c r="C7" s="17" t="inlineStr">
        <is>
          <t>Vision and mission</t>
        </is>
      </c>
      <c r="D7" s="22" t="n"/>
      <c r="E7" s="19" t="n"/>
      <c r="F7" s="18" t="n"/>
    </row>
    <row r="8">
      <c r="B8" s="14" t="inlineStr">
        <is>
          <t>Global (Menu-Links)</t>
        </is>
      </c>
      <c r="C8" s="17" t="inlineStr">
        <is>
          <t>About us</t>
        </is>
      </c>
      <c r="D8" s="22" t="n"/>
      <c r="E8" s="19" t="n"/>
      <c r="F8" s="18" t="n"/>
    </row>
    <row r="9">
      <c r="B9" s="14" t="inlineStr">
        <is>
          <t>Global (Menu-Links)</t>
        </is>
      </c>
      <c r="C9" s="17" t="inlineStr">
        <is>
          <t>Affiliates</t>
        </is>
      </c>
      <c r="D9" s="22" t="n"/>
      <c r="E9" s="19" t="n"/>
      <c r="F9" s="18" t="n"/>
    </row>
    <row r="10">
      <c r="B10" s="14" t="inlineStr">
        <is>
          <t>Global (Menu-Links)</t>
        </is>
      </c>
      <c r="C10" s="17" t="inlineStr">
        <is>
          <t>Book now!</t>
        </is>
      </c>
      <c r="D10" s="22" t="n"/>
      <c r="E10" s="19" t="n"/>
      <c r="F10" s="19" t="n"/>
    </row>
    <row r="11">
      <c r="B11" s="14" t="inlineStr">
        <is>
          <t>Footer</t>
        </is>
      </c>
      <c r="C11" s="17" t="inlineStr">
        <is>
          <t>Links</t>
        </is>
      </c>
      <c r="D11" s="22" t="n"/>
      <c r="E11" s="19" t="n"/>
      <c r="F11" s="18" t="n"/>
    </row>
    <row r="12">
      <c r="B12" s="14" t="inlineStr">
        <is>
          <t>Footer</t>
        </is>
      </c>
      <c r="C12" s="17" t="inlineStr">
        <is>
          <t>Follow us!</t>
        </is>
      </c>
      <c r="D12" s="22" t="n"/>
      <c r="E12" s="19" t="n"/>
      <c r="F12" s="18" t="n"/>
    </row>
    <row r="13" ht="30" customHeight="1">
      <c r="B13" s="14" t="inlineStr">
        <is>
          <t>Footer</t>
        </is>
      </c>
      <c r="C13" s="17" t="inlineStr">
        <is>
          <t>Stay tuned and never miss a any of our upcoming courses and summits</t>
        </is>
      </c>
      <c r="D13" s="22" t="n"/>
      <c r="E13" s="19" t="n"/>
      <c r="F13" s="18" t="n"/>
    </row>
    <row r="14" ht="75" customHeight="1">
      <c r="B14" s="14" t="inlineStr">
        <is>
          <t>Form</t>
        </is>
      </c>
      <c r="C14" s="17" t="inlineStr">
        <is>
          <t>I accept the privacy policy and that by registering I will receive awesome offers and communication from younity and "company name" through the newsletter.
Your data will kept confidential and not disclosed to third parties.</t>
        </is>
      </c>
      <c r="D14" s="22" t="n"/>
      <c r="E14" s="19" t="inlineStr">
        <is>
          <t>Please mark the word [privacy policy] so that it can be linked to the privacy policy page</t>
        </is>
      </c>
      <c r="F14" s="19" t="n"/>
    </row>
    <row r="15">
      <c r="B15" s="14" t="inlineStr">
        <is>
          <t>Theme Customizer</t>
        </is>
      </c>
      <c r="C15" s="181" t="inlineStr">
        <is>
          <t>The Work [Country]</t>
        </is>
      </c>
      <c r="D15" s="22" t="n"/>
      <c r="E15" s="19" t="inlineStr">
        <is>
          <t>Please use same Translation as for the Logo Title</t>
        </is>
      </c>
      <c r="F15" s="19" t="n"/>
    </row>
    <row r="16">
      <c r="B16" s="14" t="inlineStr">
        <is>
          <t>Theme Customizer</t>
        </is>
      </c>
      <c r="C16" s="181" t="inlineStr">
        <is>
          <t>with Byron Katie</t>
        </is>
      </c>
      <c r="D16" s="22" t="n"/>
      <c r="E16" s="19" t="n"/>
      <c r="F16" s="18" t="n"/>
    </row>
    <row r="17">
      <c r="B17" s="16" t="inlineStr">
        <is>
          <t>Countdown</t>
        </is>
      </c>
      <c r="C17" s="17" t="inlineStr">
        <is>
          <t>The online course starts on [Date]! Only:</t>
        </is>
      </c>
      <c r="D17" s="22" t="n"/>
      <c r="E17" s="19" t="n"/>
      <c r="F17" s="18" t="n"/>
    </row>
    <row r="18">
      <c r="B18" s="14" t="inlineStr">
        <is>
          <t>Buttons Sale</t>
        </is>
      </c>
      <c r="C18" s="17" t="inlineStr">
        <is>
          <t>Sign Up Now!</t>
        </is>
      </c>
      <c r="D18" s="22" t="n"/>
      <c r="E18" s="19" t="n"/>
      <c r="F18" s="18" t="n"/>
    </row>
    <row r="19">
      <c r="B19" s="14" t="inlineStr">
        <is>
          <t>Buttons Sale</t>
        </is>
      </c>
      <c r="C19" s="15" t="inlineStr">
        <is>
          <t>Claim your special offer!</t>
        </is>
      </c>
      <c r="D19" s="22" t="n"/>
      <c r="E19" s="19" t="n"/>
      <c r="F19" s="18" t="n"/>
    </row>
    <row r="20">
      <c r="B20" s="14" t="inlineStr">
        <is>
          <t>Buttons Sale</t>
        </is>
      </c>
      <c r="C20" s="17" t="inlineStr">
        <is>
          <t>Join us!</t>
        </is>
      </c>
      <c r="D20" s="22" t="n"/>
      <c r="E20" s="19" t="n"/>
      <c r="F20" s="18" t="n"/>
    </row>
    <row r="21">
      <c r="B21" s="14" t="inlineStr">
        <is>
          <t>Buttons Sale</t>
        </is>
      </c>
      <c r="C21" s="17" t="inlineStr">
        <is>
          <t>Pay in Installments</t>
        </is>
      </c>
      <c r="D21" s="22" t="n"/>
      <c r="E21" s="19" t="n"/>
      <c r="F21" s="18" t="n"/>
    </row>
    <row r="22">
      <c r="B22" s="16" t="inlineStr">
        <is>
          <t>Optin Arrow Graphic</t>
        </is>
      </c>
      <c r="C22" s="15" t="inlineStr">
        <is>
          <t>For a limited time</t>
        </is>
      </c>
      <c r="D22" s="22" t="n"/>
      <c r="E22" s="19" t="n"/>
      <c r="F22" s="18" t="n"/>
    </row>
    <row r="23">
      <c r="B23" s="16" t="inlineStr">
        <is>
          <t>Offer Arrow Graphic</t>
        </is>
      </c>
      <c r="C23" s="17" t="inlineStr">
        <is>
          <t xml:space="preserve">Limited time offer! </t>
        </is>
      </c>
      <c r="D23" s="22" t="n"/>
      <c r="E23" s="19" t="n"/>
      <c r="F23" s="18" t="n"/>
    </row>
    <row r="24">
      <c r="B24" s="14" t="inlineStr">
        <is>
          <t>Button Optin</t>
        </is>
      </c>
      <c r="C24" s="17" t="inlineStr">
        <is>
          <t>Sign in now</t>
        </is>
      </c>
      <c r="D24" s="22" t="n"/>
      <c r="E24" s="19" t="n"/>
      <c r="F24" s="18" t="n"/>
    </row>
    <row r="25" ht="30" customHeight="1">
      <c r="B25" s="16" t="inlineStr">
        <is>
          <t>Share Buttons Text</t>
        </is>
      </c>
      <c r="C25" s="17" t="inlineStr">
        <is>
          <t>Happiness is the only thing that doubles when you share it.
Share this free content with your friends!</t>
        </is>
      </c>
      <c r="D25" s="22" t="n"/>
      <c r="E25" s="19" t="n"/>
      <c r="F25" s="18" t="n"/>
    </row>
    <row r="26">
      <c r="B26" s="14" t="inlineStr">
        <is>
          <t>Speaker Name</t>
        </is>
      </c>
      <c r="C26" s="180" t="inlineStr">
        <is>
          <t>Byron Katie</t>
        </is>
      </c>
      <c r="D26" s="22" t="n"/>
      <c r="E26" s="19" t="n"/>
      <c r="F26" s="18" t="n"/>
    </row>
    <row r="27">
      <c r="B27" s="14" t="inlineStr">
        <is>
          <t>Graphic Offer Mockup</t>
        </is>
      </c>
      <c r="C27" s="15" t="inlineStr">
        <is>
          <t>Get your full Bundle now!</t>
        </is>
      </c>
      <c r="D27" s="22" t="n"/>
      <c r="E27" s="19" t="n"/>
      <c r="F27" s="18" t="n"/>
    </row>
    <row r="28">
      <c r="B28" s="14" t="inlineStr">
        <is>
          <t>Graphic Feature Image</t>
        </is>
      </c>
      <c r="C28" s="180" t="inlineStr">
        <is>
          <t>byron katie The Work</t>
        </is>
      </c>
      <c r="D28" s="22" t="n"/>
      <c r="E28" s="19" t="n"/>
      <c r="F28" s="18" t="n"/>
    </row>
    <row r="29">
      <c r="B29" s="14" t="inlineStr">
        <is>
          <t>Graphic Thumbnail</t>
        </is>
      </c>
      <c r="C29" s="15" t="inlineStr">
        <is>
          <t>Bonus Video</t>
        </is>
      </c>
      <c r="D29" s="22" t="n"/>
      <c r="E29" s="19" t="n"/>
      <c r="F29" s="18" t="n"/>
    </row>
    <row r="30">
      <c r="B30" s="14" t="inlineStr">
        <is>
          <t>Graphic Thumbnail</t>
        </is>
      </c>
      <c r="C30" s="14" t="inlineStr">
        <is>
          <t>Recording</t>
        </is>
      </c>
      <c r="D30" s="22" t="n"/>
      <c r="E30" s="19" t="n"/>
      <c r="F30" s="18" t="n"/>
    </row>
    <row r="31">
      <c r="B31" s="14" t="n"/>
      <c r="C31" s="17" t="n"/>
      <c r="D31" s="22" t="n"/>
      <c r="E31" s="19" t="n"/>
      <c r="F31" s="18" t="n"/>
    </row>
    <row r="32">
      <c r="B32" s="14" t="n"/>
      <c r="C32" s="17" t="n"/>
      <c r="D32" s="22" t="n"/>
      <c r="E32" s="19" t="n"/>
      <c r="F32" s="18" t="n"/>
    </row>
    <row r="33">
      <c r="B33" s="14" t="n"/>
      <c r="C33" s="17" t="n"/>
      <c r="D33" s="22" t="n"/>
      <c r="E33" s="19" t="n"/>
      <c r="F33" s="18" t="n"/>
    </row>
    <row r="34">
      <c r="B34" s="58" t="n"/>
      <c r="C34" s="19" t="n"/>
      <c r="D34" s="59" t="n"/>
      <c r="E34" s="61" t="n"/>
      <c r="F34" s="60" t="n"/>
    </row>
    <row r="37" ht="36.75" customHeight="1">
      <c r="B37" s="262" t="inlineStr">
        <is>
          <t>All the rest of the graphics are in Canva and Country Leads can localize them directly there. 
Please remember to always make copies of the blueprint designs.</t>
        </is>
      </c>
    </row>
    <row r="38">
      <c r="B38" t="inlineStr">
        <is>
          <t>Category</t>
        </is>
      </c>
      <c r="C38" t="inlineStr">
        <is>
          <t>Link in Canva</t>
        </is>
      </c>
      <c r="D38" t="inlineStr">
        <is>
          <t>Notes</t>
        </is>
      </c>
    </row>
    <row r="39">
      <c r="B39" s="248" t="inlineStr">
        <is>
          <t>Email Graphics</t>
        </is>
      </c>
      <c r="C39" s="249" t="inlineStr">
        <is>
          <t>https://www.canva.com/folder/FAHDknipACE</t>
        </is>
      </c>
      <c r="D39" s="248" t="n"/>
    </row>
    <row r="40">
      <c r="B40" s="248" t="inlineStr">
        <is>
          <t>Worksheets</t>
        </is>
      </c>
      <c r="C40" s="249" t="inlineStr">
        <is>
          <t>https://www.canva.com/folder/FAHDj9YEcQs</t>
        </is>
      </c>
      <c r="D40" s="248" t="n"/>
    </row>
    <row r="41">
      <c r="B41" s="248" t="inlineStr">
        <is>
          <t>PPC Graphics</t>
        </is>
      </c>
      <c r="C41" s="249" t="inlineStr">
        <is>
          <t>https://www.canva.com/folder/FAHDpv62w_o</t>
        </is>
      </c>
      <c r="D41" s="248" t="n"/>
    </row>
    <row r="42">
      <c r="B42" s="248" t="inlineStr">
        <is>
          <t>Snippet End Cards</t>
        </is>
      </c>
      <c r="C42" s="249" t="n"/>
      <c r="D42" s="248" t="n"/>
    </row>
    <row r="43">
      <c r="B43" s="248" t="n"/>
      <c r="C43" s="249" t="n"/>
      <c r="D43" s="248" t="n"/>
    </row>
    <row r="44">
      <c r="B44" s="248" t="n"/>
      <c r="C44" s="249" t="n"/>
      <c r="D44" s="248" t="n"/>
    </row>
  </sheetData>
  <mergeCells count="1">
    <mergeCell ref="B37:D37"/>
  </mergeCells>
  <hyperlinks>
    <hyperlink xmlns:r="http://schemas.openxmlformats.org/officeDocument/2006/relationships" ref="C39" r:id="rId1"/>
    <hyperlink xmlns:r="http://schemas.openxmlformats.org/officeDocument/2006/relationships" ref="C40" r:id="rId2"/>
    <hyperlink xmlns:r="http://schemas.openxmlformats.org/officeDocument/2006/relationships" ref="C41" r:id="rId3"/>
  </hyperlinks>
  <pageMargins left="0.7" right="0.7" top="0.75" bottom="0.75" header="0.3" footer="0.3"/>
  <pageSetup orientation="portrait" paperSize="9"/>
  <tableParts count="2">
    <tablePart xmlns:r="http://schemas.openxmlformats.org/officeDocument/2006/relationships" r:id="rId4"/>
    <tablePart xmlns:r="http://schemas.openxmlformats.org/officeDocument/2006/relationships" r:id="rId5"/>
  </tableParts>
</worksheet>
</file>

<file path=xl/worksheets/sheet6.xml><?xml version="1.0" encoding="utf-8"?>
<worksheet xmlns="http://schemas.openxmlformats.org/spreadsheetml/2006/main">
  <sheetPr>
    <tabColor rgb="FFFF0000"/>
    <outlinePr summaryBelow="1" summaryRight="1"/>
    <pageSetUpPr/>
  </sheetPr>
  <dimension ref="A1:J119"/>
  <sheetViews>
    <sheetView showGridLines="0" workbookViewId="0">
      <pane xSplit="3" topLeftCell="G34" activePane="topRight" state="frozen"/>
      <selection pane="topRight" activeCell="I31" sqref="I31"/>
    </sheetView>
  </sheetViews>
  <sheetFormatPr baseColWidth="8" defaultColWidth="9.140625" defaultRowHeight="15"/>
  <cols>
    <col width="14.28515625" customWidth="1" min="1" max="1"/>
    <col width="44.42578125" customWidth="1" style="2" min="2" max="2"/>
    <col width="48.85546875" customWidth="1" min="3" max="3"/>
    <col width="46.85546875" customWidth="1" min="4" max="4"/>
    <col width="52.85546875" customWidth="1" min="5" max="5"/>
    <col width="22.140625" customWidth="1" min="6" max="6"/>
    <col width="18.42578125" customWidth="1" min="7" max="7"/>
    <col width="27.7109375" customWidth="1" min="8" max="8"/>
    <col width="34.5703125" customWidth="1" min="9" max="9"/>
  </cols>
  <sheetData>
    <row r="1" ht="30.75" customHeight="1">
      <c r="A1" s="232" t="n"/>
      <c r="B1" s="232" t="inlineStr">
        <is>
          <t>What (Graphic / Text)</t>
        </is>
      </c>
      <c r="C1" s="232" t="inlineStr">
        <is>
          <t>Original language</t>
        </is>
      </c>
      <c r="D1" s="236" t="inlineStr">
        <is>
          <t>Translated language</t>
        </is>
      </c>
      <c r="E1" s="232" t="inlineStr">
        <is>
          <t>Original Language2</t>
        </is>
      </c>
      <c r="F1" s="236" t="inlineStr">
        <is>
          <t>Translated Round 2</t>
        </is>
      </c>
      <c r="G1" s="232" t="inlineStr">
        <is>
          <t>Original Language3</t>
        </is>
      </c>
      <c r="H1" s="236" t="inlineStr">
        <is>
          <t>Translated Round 3</t>
        </is>
      </c>
      <c r="I1" s="232" t="inlineStr">
        <is>
          <t>Graphics Copy</t>
        </is>
      </c>
    </row>
    <row r="2"/>
    <row r="3" ht="30.75" customHeight="1">
      <c r="A3" s="233" t="n"/>
      <c r="B3" s="233" t="inlineStr">
        <is>
          <t>AD SET 1 — Problem Aware — "The Feeling You Can't Name"</t>
        </is>
      </c>
      <c r="C3" s="233" t="inlineStr">
        <is>
          <t>ROUND 1</t>
        </is>
      </c>
      <c r="D3" s="233" t="n"/>
      <c r="E3" s="233" t="inlineStr">
        <is>
          <t>ROUND 2</t>
        </is>
      </c>
      <c r="F3" s="233" t="n"/>
      <c r="G3" s="233" t="inlineStr">
        <is>
          <t>ROUND 3</t>
        </is>
      </c>
      <c r="H3" s="233" t="n"/>
      <c r="I3" s="233" t="inlineStr">
        <is>
          <t>ROUND 1</t>
        </is>
      </c>
      <c r="J3" s="2" t="n"/>
    </row>
    <row r="4" ht="45.75" customHeight="1">
      <c r="A4" s="234" t="n"/>
      <c r="B4" s="234" t="inlineStr">
        <is>
          <t>Meta Description</t>
        </is>
      </c>
      <c r="C4" s="234" t="inlineStr">
        <is>
          <t>7 days. 38+ world-renowned teachers. Free. Join 150,000+ people and finally find the words for what you're feeling.</t>
        </is>
      </c>
    </row>
    <row r="5">
      <c r="A5" s="235" t="n"/>
      <c r="B5" s="235" t="n"/>
      <c r="C5" s="235" t="inlineStr">
        <is>
          <t>1a</t>
        </is>
      </c>
      <c r="D5" s="235" t="n"/>
      <c r="E5" s="235" t="inlineStr">
        <is>
          <t>1.1a</t>
        </is>
      </c>
      <c r="F5" s="235" t="n"/>
      <c r="G5" s="235" t="n"/>
      <c r="H5" s="235" t="n"/>
      <c r="I5" s="235" t="inlineStr">
        <is>
          <t>1a</t>
        </is>
      </c>
      <c r="J5" s="2" t="n"/>
    </row>
    <row r="6">
      <c r="A6" s="3" t="n"/>
      <c r="B6" s="3" t="inlineStr">
        <is>
          <t>Meta Headline 1</t>
        </is>
      </c>
      <c r="C6" s="3" t="inlineStr">
        <is>
          <t>The feeling you can't explain</t>
        </is>
      </c>
    </row>
    <row r="7">
      <c r="A7" s="3" t="n"/>
      <c r="B7" s="3" t="inlineStr">
        <is>
          <t>Meta Headline 2</t>
        </is>
      </c>
      <c r="C7" s="3" t="inlineStr">
        <is>
          <t>7 days to finally change it — free</t>
        </is>
      </c>
    </row>
    <row r="8" ht="229.5" customHeight="1">
      <c r="A8" s="3" t="n"/>
      <c r="B8" s="3" t="inlineStr">
        <is>
          <t>Meta Text</t>
        </is>
      </c>
      <c r="C8" s="3" t="inlineStr">
        <is>
          <t>There's a feeling that's hard to explain to anyone.
From the outside, your life is fine. But somewhere underneath, there's a quiet weight you carry — a sense that the real version of you is just out of reach.
You've tried to shake it. Read the books, done the meditations. Sometimes things shift for a week. Then the weight comes back.
You are not broken. That feeling is not a malfunction — it is a call.
7 days. 38 transformative teachers. The flow! summit 2026. 100% free. Register now.</t>
        </is>
      </c>
      <c r="D8" s="3" t="n"/>
      <c r="E8" s="3" t="n"/>
      <c r="F8" s="3" t="n"/>
      <c r="G8" s="3" t="n"/>
      <c r="H8" s="3" t="n"/>
      <c r="I8" s="289" t="inlineStr">
        <is>
          <t>Graphic Title: You Are Not Broken. You Are Just Disconnected.
Graphic Pre-header: flow! summit: 7 free days to restore the connection.
Graphic CTA: Start Reconnecting Now</t>
        </is>
      </c>
    </row>
    <row r="9">
      <c r="A9" s="235" t="n"/>
      <c r="B9" s="235" t="n"/>
      <c r="C9" s="235" t="inlineStr">
        <is>
          <t>1b</t>
        </is>
      </c>
      <c r="D9" s="235" t="n"/>
      <c r="E9" s="235" t="inlineStr">
        <is>
          <t>1.1b</t>
        </is>
      </c>
      <c r="F9" s="235" t="n"/>
      <c r="G9" s="235" t="n"/>
      <c r="H9" s="235" t="n"/>
      <c r="I9" s="235" t="inlineStr">
        <is>
          <t>1b</t>
        </is>
      </c>
      <c r="J9" s="2" t="n"/>
    </row>
    <row r="10">
      <c r="A10" s="3" t="n"/>
      <c r="B10" s="3" t="inlineStr">
        <is>
          <t>Meta Headline 1</t>
        </is>
      </c>
      <c r="C10" s="3" t="inlineStr">
        <is>
          <t>You know something's missing</t>
        </is>
      </c>
    </row>
    <row r="11">
      <c r="A11" s="3" t="n"/>
      <c r="B11" s="3" t="inlineStr">
        <is>
          <t>Meta Headline 2</t>
        </is>
      </c>
      <c r="C11" s="3" t="inlineStr">
        <is>
          <t>38 teachers. 7 days. Free.</t>
        </is>
      </c>
    </row>
    <row r="12" ht="259.5" customHeight="1">
      <c r="A12" s="3" t="n"/>
      <c r="B12" s="3" t="inlineStr">
        <is>
          <t>Meta Text</t>
        </is>
      </c>
      <c r="C12" s="3" t="inlineStr">
        <is>
          <t>You wake up tired of being tired.
You go through the motions. You smile when you're supposed to. But at 2am, when it's quiet, you know something is off.
Not broken. Not depressed. Just... not alive in the way you know you could be.
That gap between who you are and who you sense you're meant to be — it has a path.
38 of the world's greatest teachers. 7 days. Completely free.
The flow! summit 2026. Register free. The journey starts where you are.</t>
        </is>
      </c>
      <c r="D12" s="3" t="n"/>
      <c r="E12" s="3" t="n"/>
      <c r="F12" s="3" t="n"/>
      <c r="G12" s="3" t="n"/>
      <c r="H12" s="3" t="n"/>
      <c r="I12" s="289" t="inlineStr">
        <is>
          <t>Graphic Title: Every Day You Delay, the Distance Grows.
Graphic Pre-header: You have felt this long enough. 7 free days to change it.
Graphic CTA: Close the Gap Today</t>
        </is>
      </c>
    </row>
    <row r="13">
      <c r="A13" s="235" t="n"/>
      <c r="B13" s="235" t="n"/>
      <c r="C13" s="235" t="inlineStr">
        <is>
          <t>1c</t>
        </is>
      </c>
      <c r="D13" s="235" t="n"/>
      <c r="E13" s="235" t="inlineStr">
        <is>
          <t>1.1c</t>
        </is>
      </c>
      <c r="F13" s="235" t="n"/>
      <c r="G13" s="235" t="n"/>
      <c r="H13" s="235" t="n"/>
      <c r="I13" s="235" t="inlineStr">
        <is>
          <t>1c</t>
        </is>
      </c>
      <c r="J13" s="2" t="n"/>
    </row>
    <row r="14">
      <c r="A14" s="3" t="n"/>
      <c r="B14" s="3" t="inlineStr">
        <is>
          <t>Meta Headline 1</t>
        </is>
      </c>
      <c r="C14" s="3" t="inlineStr">
        <is>
          <t>Still searching. Still stuck. Why?</t>
        </is>
      </c>
    </row>
    <row r="15">
      <c r="A15" s="3" t="n"/>
      <c r="B15" s="3" t="inlineStr">
        <is>
          <t>Meta Headline 2</t>
        </is>
      </c>
      <c r="C15" s="3" t="inlineStr">
        <is>
          <t>The answer is a 7-day free summit</t>
        </is>
      </c>
    </row>
    <row r="16" ht="259.5" customHeight="1">
      <c r="A16" s="3" t="n"/>
      <c r="B16" s="3" t="inlineStr">
        <is>
          <t>Meta Text</t>
        </is>
      </c>
      <c r="C16" s="3" t="inlineStr">
        <is>
          <t>What if what you've been searching for isn't more information?
You've done the reading. You've felt moments of clarity that faded by morning. And you're still carrying the same weight you started with.
The missing piece is almost never more knowledge. It is guided experience. A structure that takes you somewhere.
For 7 days, the flow! summit brings together 38 of the world's most extraordinary teachers in one free, progressive journey — from where you are to where you want to be.
Register free.</t>
        </is>
      </c>
      <c r="D16" s="3" t="n"/>
      <c r="E16" s="3" t="n"/>
      <c r="F16" s="3" t="n"/>
      <c r="G16" s="3" t="n"/>
      <c r="H16" s="3" t="n"/>
      <c r="I16" s="3" t="inlineStr">
        <is>
          <t>Graphic Title: Stop Searching Alone. Start the Journey Together.
Graphic Pre-header: 38 World-Renowned Teachers. 7 Days. Free.
Graphic CTA: Join Free Now</t>
        </is>
      </c>
    </row>
    <row r="17"/>
    <row r="18" ht="60.75" customHeight="1">
      <c r="A18" s="233" t="n"/>
      <c r="B18" s="233" t="inlineStr">
        <is>
          <t>AD SET 2 — Solution Aware / Most Aware — "38 Teachers. 0 Cost. The Event That Changes Everything."</t>
        </is>
      </c>
      <c r="C18" s="233" t="inlineStr">
        <is>
          <t>ROUND 1</t>
        </is>
      </c>
      <c r="D18" s="233" t="n"/>
      <c r="E18" s="233" t="inlineStr">
        <is>
          <t>ROUND 2</t>
        </is>
      </c>
      <c r="F18" s="233" t="n"/>
      <c r="G18" s="233" t="inlineStr">
        <is>
          <t>ROUND 3</t>
        </is>
      </c>
      <c r="H18" s="233" t="n"/>
      <c r="I18" s="233" t="inlineStr">
        <is>
          <t>ROUND 1</t>
        </is>
      </c>
    </row>
    <row r="19" ht="45.75" customHeight="1">
      <c r="A19" s="234" t="n"/>
      <c r="B19" s="234" t="inlineStr">
        <is>
          <t>Meta Description</t>
        </is>
      </c>
      <c r="C19" s="234" t="inlineStr">
        <is>
          <t>Dr. Joe Dispenza, Sadhguru, Eckhart Tolle, Dr. Gabor Maté, Bruce Lipton + 33 more. 7 days free. Register now.</t>
        </is>
      </c>
    </row>
    <row r="20">
      <c r="A20" s="235" t="n"/>
      <c r="B20" s="235" t="n"/>
      <c r="C20" s="235" t="inlineStr">
        <is>
          <t>2a</t>
        </is>
      </c>
      <c r="D20" s="235" t="n"/>
      <c r="E20" s="235" t="inlineStr">
        <is>
          <t>2.1a</t>
        </is>
      </c>
      <c r="F20" s="235" t="n"/>
      <c r="G20" s="235" t="n"/>
      <c r="H20" s="235" t="n"/>
      <c r="I20" s="235" t="inlineStr">
        <is>
          <t>2a</t>
        </is>
      </c>
      <c r="J20" s="2" t="n"/>
    </row>
    <row r="21">
      <c r="A21" s="3" t="n"/>
      <c r="B21" s="3" t="inlineStr">
        <is>
          <t>Meta Headline 1</t>
        </is>
      </c>
      <c r="C21" s="3" t="inlineStr">
        <is>
          <t>38 teachers. 7 days. 0 cost.</t>
        </is>
      </c>
    </row>
    <row r="22">
      <c r="A22" s="3" t="n"/>
      <c r="B22" s="3" t="inlineStr">
        <is>
          <t>Meta Headline 2</t>
        </is>
      </c>
      <c r="C22" s="3" t="inlineStr">
        <is>
          <t>The biggest spiritual event of 2026</t>
        </is>
      </c>
    </row>
    <row r="23" ht="244.5" customHeight="1">
      <c r="A23" s="3" t="n"/>
      <c r="B23" s="3" t="inlineStr">
        <is>
          <t>Meta Text</t>
        </is>
      </c>
      <c r="C23" s="3" t="inlineStr">
        <is>
          <t>Dr. Joe Dispenza. Eckhart Tolle. Bruce Lipton. Sadhguru. Dr. Gabor Maté. Anita Moorjani. Gregg Braden. Neale Donald Walsch. Byron Katie.
Nine of the most transformative people alive — sharing the same stage. Then add 29 more.
38 teachers. 7 days. One free event structured as a day-by-day arc from resetting your nervous system to discovering your quantum self.
150,000 people participated last year. Zero cost. Full access.
Register free now. This is the one you've been waiting for.</t>
        </is>
      </c>
      <c r="D23" s="3" t="n"/>
      <c r="E23" s="3" t="n"/>
      <c r="F23" s="3" t="n"/>
      <c r="G23" s="3" t="n"/>
      <c r="H23" s="3" t="n"/>
      <c r="I23" s="289" t="inlineStr">
        <is>
          <t>Graphic Title: One Stage. Dispenza. Tolle. Sadhguru. Thirty-Five More.
Graphic Pre-header: 7 days of live wisdom that could shift everything.
Graphic CTA: Unlock the Full Lineup</t>
        </is>
      </c>
    </row>
    <row r="24">
      <c r="A24" s="235" t="n"/>
      <c r="B24" s="235" t="n"/>
      <c r="C24" s="235" t="inlineStr">
        <is>
          <t>2b</t>
        </is>
      </c>
      <c r="D24" s="235" t="n"/>
      <c r="E24" s="235" t="inlineStr">
        <is>
          <t>2.1b</t>
        </is>
      </c>
      <c r="F24" s="235" t="n"/>
      <c r="G24" s="235" t="n"/>
      <c r="H24" s="235" t="n"/>
      <c r="I24" s="235" t="inlineStr">
        <is>
          <t>2b</t>
        </is>
      </c>
      <c r="J24" s="2" t="n"/>
    </row>
    <row r="25">
      <c r="A25" s="3" t="n"/>
      <c r="B25" s="3" t="inlineStr">
        <is>
          <t>Meta Headline 1</t>
        </is>
      </c>
      <c r="C25" s="3" t="inlineStr">
        <is>
          <t>150,000 joined last year. Your turn.</t>
        </is>
      </c>
    </row>
    <row r="26">
      <c r="A26" s="3" t="n"/>
      <c r="B26" s="3" t="inlineStr">
        <is>
          <t>Meta Headline 2</t>
        </is>
      </c>
      <c r="C26" s="3" t="inlineStr">
        <is>
          <t>38 teachers. 1 free event. Join now.</t>
        </is>
      </c>
    </row>
    <row r="27" ht="229.5" customHeight="1">
      <c r="A27" s="3" t="n"/>
      <c r="B27" s="3" t="inlineStr">
        <is>
          <t>Meta Text</t>
        </is>
      </c>
      <c r="C27" s="3" t="inlineStr">
        <is>
          <t>Last year, 150,000 people changed their lives during one free 7-day online event.
This year, there's a seat for you.
Dr. Joe Dispenza, Eckhart Tolle, Sadhguru, Bruce Lipton, Dr. Gabor Maté, Anita Moorjani, Gregg Braden, Byron Katie — and 30 more — all gathering in one place, for free.
Seven days. Exclusive sessions. Original wisdom from the people who have shaped how millions of us understand healing and consciousness.
This is it. Register free.</t>
        </is>
      </c>
      <c r="D27" s="3" t="n"/>
      <c r="E27" s="3" t="n"/>
      <c r="F27" s="3" t="n"/>
      <c r="G27" s="3" t="n"/>
      <c r="H27" s="3" t="n"/>
      <c r="I27" s="289" t="inlineStr">
        <is>
          <t>Graphic Title: 150,000 People Found What They Were Missing.
Graphic Pre-header: They found it at flow! summit. Registration is still open.
Graphic CTA: Find It This Week</t>
        </is>
      </c>
    </row>
    <row r="28">
      <c r="A28" s="235" t="n"/>
      <c r="B28" s="235" t="n"/>
      <c r="C28" s="235" t="inlineStr">
        <is>
          <t>2c</t>
        </is>
      </c>
      <c r="D28" s="235" t="n"/>
      <c r="E28" s="235" t="inlineStr">
        <is>
          <t>2.1c</t>
        </is>
      </c>
      <c r="F28" s="235" t="n"/>
      <c r="G28" s="235" t="n"/>
      <c r="H28" s="235" t="n"/>
      <c r="I28" s="235" t="inlineStr">
        <is>
          <t>2c</t>
        </is>
      </c>
      <c r="J28" s="2" t="n"/>
    </row>
    <row r="29">
      <c r="A29" s="3" t="n"/>
      <c r="B29" s="3" t="inlineStr">
        <is>
          <t>Meta Headline 1</t>
        </is>
      </c>
      <c r="C29" s="3" t="inlineStr">
        <is>
          <t>Not another YouTube playlist</t>
        </is>
      </c>
    </row>
    <row r="30">
      <c r="A30" s="3" t="n"/>
      <c r="B30" s="3" t="inlineStr">
        <is>
          <t>Meta Headline 2</t>
        </is>
      </c>
      <c r="C30" s="3" t="inlineStr">
        <is>
          <t>A 7-day journey. Free. Starting now.</t>
        </is>
      </c>
    </row>
    <row r="31" ht="198" customHeight="1">
      <c r="A31" s="3" t="n"/>
      <c r="B31" s="3" t="inlineStr">
        <is>
          <t>Meta Text</t>
        </is>
      </c>
      <c r="C31" s="3" t="inlineStr">
        <is>
          <t>You've seen their talks. You follow these teachers. So what makes the flow! summit different?
These are brand-new sessions, created exclusively for this event — organized into a 7-day journey with a beginning, a middle, and an end. A structure that takes you somewhere, instead of leaving you inspired for a day and back to normal by Thursday.
Day 1 resets your nervous system. Day 7, Dr. Joe Dispenza closes the summit.
38 teachers. All of it free. Register now.</t>
        </is>
      </c>
      <c r="D31" s="3" t="n"/>
      <c r="E31" s="3" t="n"/>
      <c r="F31" s="3" t="n"/>
      <c r="G31" s="3" t="n"/>
      <c r="H31" s="3" t="n"/>
      <c r="I31" s="3" t="inlineStr">
        <is>
          <t>Graphic Title: Day 1 to Day 7 — A Journey That Actually Goes Somewhere
Graphic Pre-header: flow! summit 2026 — 38 Teachers, 100% Free
Graphic CTA: See the Full Lineup — Register Free</t>
        </is>
      </c>
    </row>
    <row r="32"/>
    <row r="33" ht="45.75" customHeight="1">
      <c r="A33" s="233" t="n"/>
      <c r="B33" s="233" t="inlineStr">
        <is>
          <t>AD SET 3 — Problem Aware — "The 7-Day Reset" (Body-First Entry Point)</t>
        </is>
      </c>
      <c r="C33" s="233" t="inlineStr">
        <is>
          <t>ROUND 1</t>
        </is>
      </c>
      <c r="D33" s="233" t="n"/>
      <c r="E33" s="233" t="inlineStr">
        <is>
          <t>ROUND 2</t>
        </is>
      </c>
      <c r="F33" s="233" t="n"/>
      <c r="G33" s="233" t="inlineStr">
        <is>
          <t>ROUND 3</t>
        </is>
      </c>
      <c r="H33" s="233" t="n"/>
      <c r="I33" s="233" t="inlineStr">
        <is>
          <t>ROUND 1</t>
        </is>
      </c>
    </row>
    <row r="34" ht="45.75" customHeight="1">
      <c r="A34" s="234" t="n"/>
      <c r="B34" s="234" t="inlineStr">
        <is>
          <t>Meta Description</t>
        </is>
      </c>
      <c r="C34" s="234" t="inlineStr">
        <is>
          <t>Stress. Exhaustion. A body that won't calm down. 7 days of world-class guidance to reset everything — free.</t>
        </is>
      </c>
    </row>
    <row r="35">
      <c r="A35" s="235" t="n"/>
      <c r="B35" s="235" t="n"/>
      <c r="C35" s="235" t="inlineStr">
        <is>
          <t>3a</t>
        </is>
      </c>
      <c r="D35" s="235" t="n"/>
      <c r="E35" s="235" t="inlineStr">
        <is>
          <t>3.1a</t>
        </is>
      </c>
      <c r="F35" s="235" t="n"/>
      <c r="G35" s="235" t="n"/>
      <c r="H35" s="235" t="n"/>
      <c r="I35" s="235" t="inlineStr">
        <is>
          <t>3a</t>
        </is>
      </c>
      <c r="J35" s="2" t="n"/>
    </row>
    <row r="36">
      <c r="A36" s="3" t="n"/>
      <c r="B36" s="3" t="inlineStr">
        <is>
          <t>Meta Headline 1</t>
        </is>
      </c>
      <c r="C36" s="3" t="inlineStr">
        <is>
          <t>Your body has been screaming. Listen.</t>
        </is>
      </c>
    </row>
    <row r="37">
      <c r="A37" s="3" t="n"/>
      <c r="B37" s="3" t="inlineStr">
        <is>
          <t>Meta Headline 2</t>
        </is>
      </c>
      <c r="C37" s="3" t="inlineStr">
        <is>
          <t>7 days to reset everything — free</t>
        </is>
      </c>
    </row>
    <row r="38" ht="396.75" customHeight="1">
      <c r="A38" s="3" t="n"/>
      <c r="B38" s="3" t="inlineStr">
        <is>
          <t>Meta Text</t>
        </is>
      </c>
      <c r="C38" s="3" t="inlineStr">
        <is>
          <t>Your shoulders have been tight for months.
You wake up already tired. Your body is running on adrenaline it no longer has.
This is what happens when your nervous system has been in emergency mode so long it's forgotten how to do anything else.
The flow! summit begins exactly here. Day 1 is dedicated entirely to your body — conscious breathing, Qigong, sound healing. Practical tools to bring your system back to baseline.
Then 7 days of the world's greatest teachers take you the rest of the way.
Register free.</t>
        </is>
      </c>
      <c r="D38" s="3" t="n"/>
      <c r="E38" s="3" t="n"/>
      <c r="F38" s="3" t="n"/>
      <c r="G38" s="3" t="n"/>
      <c r="H38" s="3" t="n"/>
      <c r="I38" s="3" t="inlineStr">
        <is>
          <t>Graphic Title: Start with Your Body. Transform Your Life.
Graphic Pre-header: flow! summit 2026 — Day 1: Reset Your System
Graphic CTA: Register Free — It Starts Here</t>
        </is>
      </c>
    </row>
    <row r="39">
      <c r="A39" s="235" t="n"/>
      <c r="B39" s="235" t="n"/>
      <c r="C39" s="235" t="inlineStr">
        <is>
          <t>3b</t>
        </is>
      </c>
      <c r="D39" s="235" t="n"/>
      <c r="E39" s="235" t="inlineStr">
        <is>
          <t>3.1b</t>
        </is>
      </c>
      <c r="F39" s="235" t="n"/>
      <c r="G39" s="235" t="n"/>
      <c r="H39" s="235" t="n"/>
      <c r="I39" s="235" t="inlineStr">
        <is>
          <t>3b</t>
        </is>
      </c>
      <c r="J39" s="2" t="n"/>
    </row>
    <row r="40">
      <c r="A40" s="3" t="n"/>
      <c r="B40" s="3" t="inlineStr">
        <is>
          <t>Meta Headline 1</t>
        </is>
      </c>
      <c r="C40" s="3" t="inlineStr">
        <is>
          <t>Your body knows something's wrong</t>
        </is>
      </c>
    </row>
    <row r="41">
      <c r="A41" s="3" t="n"/>
      <c r="B41" s="3" t="inlineStr">
        <is>
          <t>Meta Headline 2</t>
        </is>
      </c>
      <c r="C41" s="3" t="inlineStr">
        <is>
          <t>7 days of healing. Completely free.</t>
        </is>
      </c>
    </row>
    <row r="42" ht="409.6" customHeight="1">
      <c r="A42" s="3" t="n"/>
      <c r="B42" s="3" t="inlineStr">
        <is>
          <t>Meta Text</t>
        </is>
      </c>
      <c r="C42" s="3" t="inlineStr">
        <is>
          <t>When did "fine" start feeling like the most exhausting word in your vocabulary?
There is a difference between surviving the day and actually living it — and your body knows exactly which one it's been doing.
The tension that never quite releases. The mornings that take longer to start.
What if 7 days could change that — not by adding more to your life, but by giving your system permission to release what it's been holding?
The flow! summit 2026. 38 teachers. 7 days. 100% free. Register now.</t>
        </is>
      </c>
      <c r="D42" s="3" t="n"/>
      <c r="E42" s="3" t="n"/>
      <c r="F42" s="3" t="n"/>
      <c r="G42" s="3" t="n"/>
      <c r="H42" s="3" t="n"/>
      <c r="I42" s="3" t="inlineStr">
        <is>
          <t>Graphic Title: The Reset Your Body Has Been Asking For
Graphic Pre-header: flow! summit 2026 — Starts with Day 1: Reset Your System
Graphic CTA: Begin Your Reset — Free</t>
        </is>
      </c>
    </row>
    <row r="43">
      <c r="A43" s="235" t="n"/>
      <c r="B43" s="235" t="n"/>
      <c r="C43" s="235" t="inlineStr">
        <is>
          <t>3c</t>
        </is>
      </c>
      <c r="D43" s="235" t="n"/>
      <c r="E43" s="235" t="inlineStr">
        <is>
          <t>3.1c</t>
        </is>
      </c>
      <c r="F43" s="235" t="n"/>
      <c r="G43" s="235" t="n"/>
      <c r="H43" s="235" t="n"/>
      <c r="I43" s="235" t="inlineStr">
        <is>
          <t>3c</t>
        </is>
      </c>
      <c r="J43" s="2" t="n"/>
    </row>
    <row r="44">
      <c r="A44" s="3" t="n"/>
      <c r="B44" s="3" t="inlineStr">
        <is>
          <t>Meta Headline 1</t>
        </is>
      </c>
      <c r="C44" s="3" t="inlineStr">
        <is>
          <t>You've forgotten what light feels like</t>
        </is>
      </c>
    </row>
    <row r="45">
      <c r="A45" s="3" t="n"/>
      <c r="B45" s="3" t="inlineStr">
        <is>
          <t>Meta Headline 2</t>
        </is>
      </c>
      <c r="C45" s="3" t="inlineStr">
        <is>
          <t>38 teachers. 7 days. Free. Begin.</t>
        </is>
      </c>
    </row>
    <row r="46" ht="351" customHeight="1">
      <c r="A46" s="3" t="n"/>
      <c r="B46" s="3" t="inlineStr">
        <is>
          <t>Meta Text</t>
        </is>
      </c>
      <c r="C46" s="3" t="inlineStr">
        <is>
          <t>Everything moves so fast.
And somewhere in the rushing, you lost the thread back to yourself. Not all at once — gradually. Until one ordinary Tuesday you realize you can't remember the last time you felt genuinely light.
The flow! summit 2026 is not asking you to fix everything. It is asking you to begin.
Seven days, starting with your body — breathing, Qigong, sound healing — moving into the deeper dimensions of who you really are.
All of it completely free. Register now.</t>
        </is>
      </c>
      <c r="D46" s="3" t="n"/>
      <c r="E46" s="3" t="n"/>
      <c r="F46" s="3" t="n"/>
      <c r="G46" s="3" t="n"/>
      <c r="H46" s="3" t="n"/>
      <c r="I46" s="3" t="inlineStr">
        <is>
          <t>Graphic Title: Permission to Stop. Space to Begin.
Graphic Pre-header: flow! summit 2026 — 7 Days, 100% Free
Graphic CTA: Register Free — Start Day 1</t>
        </is>
      </c>
    </row>
    <row r="47"/>
    <row r="48" ht="45.75" customHeight="1">
      <c r="A48" s="233" t="n"/>
      <c r="B48" s="233" t="inlineStr">
        <is>
          <t>AD SET 4 — Problem Aware to Solution Aware — "What If the Pain in Your Body Is a Message?"</t>
        </is>
      </c>
      <c r="C48" s="233" t="inlineStr">
        <is>
          <t>ROUND 1</t>
        </is>
      </c>
      <c r="D48" s="233" t="n"/>
      <c r="E48" s="233" t="inlineStr">
        <is>
          <t>ROUND 2</t>
        </is>
      </c>
      <c r="F48" s="233" t="n"/>
      <c r="G48" s="233" t="inlineStr">
        <is>
          <t>ROUND 3</t>
        </is>
      </c>
      <c r="H48" s="233" t="n"/>
      <c r="I48" s="233" t="inlineStr">
        <is>
          <t>ROUND 1</t>
        </is>
      </c>
    </row>
    <row r="49" ht="45.75" customHeight="1">
      <c r="A49" s="234" t="n"/>
      <c r="B49" s="234" t="inlineStr">
        <is>
          <t>Meta Description</t>
        </is>
      </c>
      <c r="C49" s="234" t="inlineStr">
        <is>
          <t>A world-renowned physician says most illness has a single emotional root. Join his free session at the flow! summit 2026.</t>
        </is>
      </c>
    </row>
    <row r="50">
      <c r="A50" s="235" t="n"/>
      <c r="B50" s="235" t="n"/>
      <c r="C50" s="235" t="inlineStr">
        <is>
          <t>4a</t>
        </is>
      </c>
      <c r="D50" s="235" t="n"/>
      <c r="E50" s="235" t="inlineStr">
        <is>
          <t>4.1a</t>
        </is>
      </c>
      <c r="F50" s="235" t="n"/>
      <c r="G50" s="235" t="n"/>
      <c r="H50" s="235" t="n"/>
      <c r="I50" s="235" t="inlineStr">
        <is>
          <t>4a</t>
        </is>
      </c>
      <c r="J50" s="2" t="n"/>
    </row>
    <row r="51">
      <c r="A51" s="3" t="n"/>
      <c r="B51" s="3" t="inlineStr">
        <is>
          <t>Meta Headline 1</t>
        </is>
      </c>
      <c r="C51" s="3" t="inlineStr">
        <is>
          <t>Most illness starts in your emotions</t>
        </is>
      </c>
    </row>
    <row r="52">
      <c r="A52" s="3" t="n"/>
      <c r="B52" s="3" t="inlineStr">
        <is>
          <t>Meta Headline 2</t>
        </is>
      </c>
      <c r="C52" s="3" t="inlineStr">
        <is>
          <t>A free session that could change everything</t>
        </is>
      </c>
    </row>
    <row r="53" ht="381.75" customHeight="1">
      <c r="A53" s="3" t="n"/>
      <c r="B53" s="3" t="inlineStr">
        <is>
          <t>Meta Text</t>
        </is>
      </c>
      <c r="C53" s="3" t="inlineStr">
        <is>
          <t>A physician says the majority of chronic illness begins not in the body — but in a single type of unprocessed memory.
These experiences create measurable cellular stress that suppresses your immune system and keeps your body in low-grade emergency — even when life looks calm.
The chronic tension. The persistent fatigue. The illness that keeps returning.
Dr. Alex Loyd speaks at Day 3 of the flow! summit 2026 — alongside Dr. Gabor Maté, Dr. Bradley Nelson, and Byron Katie.
Four of the world's top healers. Completely free. Register now.</t>
        </is>
      </c>
      <c r="D53" s="3" t="n"/>
      <c r="E53" s="3" t="n"/>
      <c r="F53" s="3" t="n"/>
      <c r="G53" s="3" t="n"/>
      <c r="H53" s="3" t="n"/>
      <c r="I53" s="3" t="inlineStr">
        <is>
          <t>Graphic Title: The Hidden Root of Chronic Pain — And How to Heal It
Graphic Pre-header: flow! summit 2026 — Day 3: Healing the Past
Graphic CTA: Watch Free — Register Now</t>
        </is>
      </c>
    </row>
    <row r="54">
      <c r="A54" s="235" t="n"/>
      <c r="B54" s="235" t="n"/>
      <c r="C54" s="235" t="inlineStr">
        <is>
          <t>4b</t>
        </is>
      </c>
      <c r="D54" s="235" t="n"/>
      <c r="E54" s="235" t="inlineStr">
        <is>
          <t>4.1b</t>
        </is>
      </c>
      <c r="F54" s="235" t="n"/>
      <c r="G54" s="235" t="n"/>
      <c r="H54" s="235" t="n"/>
      <c r="I54" s="235" t="inlineStr">
        <is>
          <t>4b</t>
        </is>
      </c>
      <c r="J54" s="2" t="n"/>
    </row>
    <row r="55">
      <c r="A55" s="3" t="n"/>
      <c r="B55" s="3" t="inlineStr">
        <is>
          <t>Meta Headline 1</t>
        </is>
      </c>
      <c r="C55" s="3" t="inlineStr">
        <is>
          <t>Your body is holding a message</t>
        </is>
      </c>
    </row>
    <row r="56">
      <c r="A56" s="3" t="n"/>
      <c r="B56" s="3" t="inlineStr">
        <is>
          <t>Meta Headline 2</t>
        </is>
      </c>
      <c r="C56" s="3" t="inlineStr">
        <is>
          <t>4 healers. 1 free session. Day 3.</t>
        </is>
      </c>
    </row>
    <row r="57" ht="409.6" customHeight="1">
      <c r="A57" s="3" t="n"/>
      <c r="B57" s="3" t="inlineStr">
        <is>
          <t>Meta Text</t>
        </is>
      </c>
      <c r="C57" s="3" t="inlineStr">
        <is>
          <t>The pain that keeps coming back. The exhaustion sleep doesn't fix. The anxiety with no clear source.
These are not signs something is permanently wrong with you. They are messages — and they can be released.
At Day 3 of the flow! summit 2026:
• Dr. Gabor Maté — trauma lives in the body, compassion heals it
• Dr. Alex Loyd — the emotional root of physical illness
• Dr. Bradley Nelson — releasing trapped emotions
• Byron Katie — freedom from guilt and unquestioned beliefs
100% free. Register below.</t>
        </is>
      </c>
      <c r="D57" s="3" t="n"/>
      <c r="E57" s="3" t="n"/>
      <c r="F57" s="3" t="n"/>
      <c r="G57" s="3" t="n"/>
      <c r="H57" s="3" t="n"/>
      <c r="I57" s="289" t="inlineStr">
        <is>
          <t>Graphic Title: Four Trauma Experts. One Day. Decades of Pain Addressed.
Graphic Pre-header: One day built to reach what years of therapy missed.
Graphic CTA: Start Healing on Day 3</t>
        </is>
      </c>
    </row>
    <row r="58">
      <c r="A58" s="235" t="n"/>
      <c r="B58" s="235" t="n"/>
      <c r="C58" s="235" t="inlineStr">
        <is>
          <t>4c</t>
        </is>
      </c>
      <c r="D58" s="235" t="n"/>
      <c r="E58" s="235" t="inlineStr">
        <is>
          <t>4.1c</t>
        </is>
      </c>
      <c r="F58" s="235" t="n"/>
      <c r="G58" s="235" t="n"/>
      <c r="H58" s="235" t="n"/>
      <c r="I58" s="235" t="inlineStr">
        <is>
          <t>4c</t>
        </is>
      </c>
      <c r="J58" s="2" t="n"/>
    </row>
    <row r="59">
      <c r="A59" s="3" t="n"/>
      <c r="B59" s="3" t="inlineStr">
        <is>
          <t>Meta Headline 1</t>
        </is>
      </c>
      <c r="C59" s="3" t="inlineStr">
        <is>
          <t>Therapy helped. But not all the way.</t>
        </is>
      </c>
    </row>
    <row r="60">
      <c r="A60" s="3" t="n"/>
      <c r="B60" s="3" t="inlineStr">
        <is>
          <t>Meta Headline 2</t>
        </is>
      </c>
      <c r="C60" s="3" t="inlineStr">
        <is>
          <t>Dr. Gabor Maté — free, Day 3</t>
        </is>
      </c>
    </row>
    <row r="61" ht="351" customHeight="1">
      <c r="A61" s="3" t="n"/>
      <c r="B61" s="3" t="inlineStr">
        <is>
          <t>Meta Text</t>
        </is>
      </c>
      <c r="C61" s="3" t="inlineStr">
        <is>
          <t>You have done the work. Therapy, medication, exercise — you've treated your body like a project that needs the right inputs.
And maybe it helped. But something hasn't shifted. Something underneath all the effort that conventional approaches can't quite reach.
Dr. Gabor Maté has sat with tens of thousands of people in exactly that place. His insight: most of what ails us is not a disease to fight, but a response to understand.
At the flow! summit 2026 — free, Day 3 — he shows you the path.
Register free.</t>
        </is>
      </c>
      <c r="D61" s="3" t="n"/>
      <c r="E61" s="3" t="n"/>
      <c r="F61" s="3" t="n"/>
      <c r="G61" s="3" t="n"/>
      <c r="H61" s="3" t="n"/>
      <c r="I61" s="289" t="inlineStr">
        <is>
          <t>Graphic Title: The Layer Beneath Every Strategy You Have Tried.
Graphic Pre-header: Gabor Maté calls it the wound beneath the wound. Day 3. Free.
Graphic CTA: Find It on Day 3 Free</t>
        </is>
      </c>
    </row>
    <row r="62"/>
    <row r="63" ht="45.75" customHeight="1">
      <c r="A63" s="233" t="n"/>
      <c r="B63" s="233" t="inlineStr">
        <is>
          <t>AD SET 5 — Solution Aware — "You've Read Every Book. Watched Every Video. Still Stuck."</t>
        </is>
      </c>
      <c r="C63" s="233" t="inlineStr">
        <is>
          <t>ROUND 1</t>
        </is>
      </c>
      <c r="D63" s="233" t="n"/>
      <c r="E63" s="233" t="inlineStr">
        <is>
          <t>ROUND 2</t>
        </is>
      </c>
      <c r="F63" s="233" t="n"/>
      <c r="G63" s="233" t="inlineStr">
        <is>
          <t>ROUND 3</t>
        </is>
      </c>
      <c r="H63" s="233" t="n"/>
      <c r="I63" s="233" t="inlineStr">
        <is>
          <t>ROUND 1</t>
        </is>
      </c>
    </row>
    <row r="64" ht="45.75" customHeight="1">
      <c r="A64" s="234" t="n"/>
      <c r="B64" s="234" t="inlineStr">
        <is>
          <t>Meta Description</t>
        </is>
      </c>
      <c r="C64" s="234" t="inlineStr">
        <is>
          <t>The problem was never the knowledge. It was the missing structure to bring it alive. 7 days to finally close that gap — free.</t>
        </is>
      </c>
    </row>
    <row r="65">
      <c r="A65" s="235" t="n"/>
      <c r="B65" s="235" t="n"/>
      <c r="C65" s="235" t="inlineStr">
        <is>
          <t>5a</t>
        </is>
      </c>
      <c r="D65" s="235" t="n"/>
      <c r="E65" s="235" t="inlineStr">
        <is>
          <t>5.1a</t>
        </is>
      </c>
      <c r="F65" s="235" t="n"/>
      <c r="G65" s="235" t="n"/>
      <c r="H65" s="235" t="n"/>
      <c r="I65" s="235" t="inlineStr">
        <is>
          <t>5a</t>
        </is>
      </c>
      <c r="J65" s="2" t="n"/>
    </row>
    <row r="66">
      <c r="A66" s="3" t="n"/>
      <c r="B66" s="3" t="inlineStr">
        <is>
          <t>Meta Headline 1</t>
        </is>
      </c>
      <c r="C66" s="3" t="inlineStr">
        <is>
          <t>You know the theory. Now feel it.</t>
        </is>
      </c>
    </row>
    <row r="67">
      <c r="A67" s="3" t="n"/>
      <c r="B67" s="3" t="inlineStr">
        <is>
          <t>Meta Headline 2</t>
        </is>
      </c>
      <c r="C67" s="3" t="inlineStr">
        <is>
          <t>7-day journey. 38 teachers. Free.</t>
        </is>
      </c>
    </row>
    <row r="68" ht="351" customHeight="1">
      <c r="A68" s="3" t="n"/>
      <c r="B68" s="3" t="inlineStr">
        <is>
          <t>Meta Text</t>
        </is>
      </c>
      <c r="C68" s="3" t="inlineStr">
        <is>
          <t>You've read the books. Done the meditations. You know what Gregg Braden means when he talks about the field.
And yet. Still not quite there.
Consuming spiritual content is not the same as transforming. You can know the territory without ever landing in it.
The flow! summit 2026 is not more content. It is a 7-day guided journey designed to move you from understanding to experiencing — from knowing to becoming.
Each day builds on the last. 38 teachers. 100% free.
Register now. This time, something will actually shift.</t>
        </is>
      </c>
      <c r="D68" s="3" t="n"/>
      <c r="E68" s="3" t="n"/>
      <c r="F68" s="3" t="n"/>
      <c r="G68" s="3" t="n"/>
      <c r="H68" s="3" t="n"/>
      <c r="I68" s="3" t="inlineStr">
        <is>
          <t>Graphic Title: From Knowing to Becoming — In 7 Days
Graphic Pre-header: flow! summit 2026 — 100% Free
Graphic CTA: Start the Journey Free</t>
        </is>
      </c>
    </row>
    <row r="69">
      <c r="A69" s="235" t="n"/>
      <c r="B69" s="235" t="n"/>
      <c r="C69" s="235" t="inlineStr">
        <is>
          <t>5b</t>
        </is>
      </c>
      <c r="D69" s="235" t="n"/>
      <c r="E69" s="235" t="inlineStr">
        <is>
          <t>5.1b</t>
        </is>
      </c>
      <c r="F69" s="235" t="n"/>
      <c r="G69" s="235" t="n"/>
      <c r="H69" s="235" t="n"/>
      <c r="I69" s="235" t="inlineStr">
        <is>
          <t>5b</t>
        </is>
      </c>
      <c r="J69" s="2" t="n"/>
    </row>
    <row r="70">
      <c r="A70" s="3" t="n"/>
      <c r="B70" s="3" t="inlineStr">
        <is>
          <t>Meta Headline 1</t>
        </is>
      </c>
      <c r="C70" s="3" t="inlineStr">
        <is>
          <t>Why knowing isn't enough — and what is</t>
        </is>
      </c>
    </row>
    <row r="71">
      <c r="A71" s="3" t="n"/>
      <c r="B71" s="3" t="inlineStr">
        <is>
          <t>Meta Headline 2</t>
        </is>
      </c>
      <c r="C71" s="3" t="inlineStr">
        <is>
          <t>The summit that finally integrates it all</t>
        </is>
      </c>
    </row>
    <row r="72" ht="381.75" customHeight="1">
      <c r="A72" s="3" t="n"/>
      <c r="B72" s="3" t="inlineStr">
        <is>
          <t>Meta Text</t>
        </is>
      </c>
      <c r="C72" s="3" t="inlineStr">
        <is>
          <t>What if the problem was never you?
You've spent years reading, meditating, following teachers whose words ring true — and still wonder: why hasn't it actually changed?
Here is the truth: knowledge and transformation are not the same thing. What creates integration is structure. Sequence. A journey with guides who know the terrain.
That is what the flow! summit 2026 is — 38 teachers across 7 deliberate days, from resetting your body to the experience Dr. Joe Dispenza has spent his career helping people reach.
Free. Register below.</t>
        </is>
      </c>
      <c r="D72" s="3" t="n"/>
      <c r="E72" s="3" t="n"/>
      <c r="F72" s="3" t="n"/>
      <c r="G72" s="3" t="n"/>
      <c r="H72" s="3" t="n"/>
      <c r="I72" s="3" t="inlineStr">
        <is>
          <t>Graphic Title: You've Done the Reading. Now Do the Journey.
Graphic Pre-header: flow! summit 2026 — Free, 7 Days, 38 Teachers
Graphic CTA: Register Free — This Is Different</t>
        </is>
      </c>
    </row>
    <row r="73">
      <c r="A73" s="235" t="n"/>
      <c r="B73" s="235" t="n"/>
      <c r="C73" s="235" t="inlineStr">
        <is>
          <t>5c</t>
        </is>
      </c>
      <c r="D73" s="235" t="n"/>
      <c r="E73" s="235" t="inlineStr">
        <is>
          <t>5.1c</t>
        </is>
      </c>
      <c r="F73" s="235" t="n"/>
      <c r="G73" s="235" t="n"/>
      <c r="H73" s="235" t="n"/>
      <c r="I73" s="235" t="inlineStr">
        <is>
          <t>5c</t>
        </is>
      </c>
      <c r="J73" s="2" t="n"/>
    </row>
    <row r="74">
      <c r="A74" s="3" t="n"/>
      <c r="B74" s="3" t="inlineStr">
        <is>
          <t>Meta Headline 1</t>
        </is>
      </c>
      <c r="C74" s="3" t="inlineStr">
        <is>
          <t>Inspired for a day. Changed for life.</t>
        </is>
      </c>
    </row>
    <row r="75">
      <c r="A75" s="3" t="n"/>
      <c r="B75" s="3" t="inlineStr">
        <is>
          <t>Meta Headline 2</t>
        </is>
      </c>
      <c r="C75" s="3" t="inlineStr">
        <is>
          <t>The structured journey you've been missing</t>
        </is>
      </c>
    </row>
    <row r="76" ht="409.6" customHeight="1">
      <c r="A76" s="3" t="n"/>
      <c r="B76" s="3" t="inlineStr">
        <is>
          <t>Meta Text</t>
        </is>
      </c>
      <c r="C76" s="3" t="inlineStr">
        <is>
          <t>At some point, you stopped being surprised that you know so much and feel so little of it.
The books, the videos, the courses — they all helped, in the moment. But there is a difference between feeling inspired on Tuesday and waking up Wednesday as a genuinely different person.
Transformation requires a container. A sequence.
The flow! summit 2026: Reset. Feel. Heal. Create. Explore. Discover. Become.
Not 38 isolated talks — a journey with a beginning and an end. Dr. Joe Dispenza, Eckhart Tolle, Sadhguru, and 35 more.
Free. Register now.</t>
        </is>
      </c>
      <c r="D76" s="3" t="n"/>
      <c r="E76" s="3" t="n"/>
      <c r="F76" s="3" t="n"/>
      <c r="G76" s="3" t="n"/>
      <c r="H76" s="3" t="n"/>
      <c r="I76" s="3" t="inlineStr">
        <is>
          <t>Graphic Title: Reset. Feel. Heal. Create. Explore. Discover. Become.
Graphic Pre-header: flow! summit 2026 — 7 Days, 38 Teachers, Free
Graphic CTA: Begin the Journey — Register Free</t>
        </is>
      </c>
    </row>
    <row r="77">
      <c r="A77" s="237" t="inlineStr">
        <is>
          <t>AD SET 6 — News + Schedule — "Here's Exactly What's Coming"</t>
        </is>
      </c>
      <c r="B77" s="237" t="inlineStr">
        <is>
          <t>ROUND 1</t>
        </is>
      </c>
      <c r="C77" s="238" t="n"/>
      <c r="D77" s="237" t="inlineStr">
        <is>
          <t>ROUND 2</t>
        </is>
      </c>
      <c r="E77" s="238" t="n"/>
      <c r="F77" s="237" t="inlineStr">
        <is>
          <t>ROUND 3</t>
        </is>
      </c>
      <c r="G77" s="238" t="n"/>
      <c r="H77" s="237" t="inlineStr">
        <is>
          <t>ROUND 1</t>
        </is>
      </c>
    </row>
    <row r="78" ht="32.25" customHeight="1">
      <c r="A78" s="244" t="inlineStr">
        <is>
          <t>Meta Description</t>
        </is>
      </c>
      <c r="B78" s="244" t="inlineStr">
        <is>
          <t>7 days. 38 world-class teachers. Free. See exactly who's speaking and when at the flow! summit 2026.</t>
        </is>
      </c>
      <c r="C78" s="245" t="n"/>
      <c r="D78" s="239" t="n"/>
      <c r="E78" s="239" t="n"/>
      <c r="F78" s="239" t="n"/>
      <c r="G78" s="239" t="n"/>
      <c r="H78" s="239" t="n"/>
    </row>
    <row r="79">
      <c r="A79" s="240" t="n"/>
      <c r="B79" s="241" t="inlineStr">
        <is>
          <t>6a</t>
        </is>
      </c>
      <c r="C79" s="240" t="n"/>
      <c r="D79" s="241" t="inlineStr">
        <is>
          <t>6.1a</t>
        </is>
      </c>
      <c r="E79" s="240" t="n"/>
      <c r="F79" s="240" t="n"/>
      <c r="G79" s="240" t="n"/>
      <c r="H79" s="241" t="inlineStr">
        <is>
          <t>6a</t>
        </is>
      </c>
    </row>
    <row r="80">
      <c r="A80" s="246" t="inlineStr">
        <is>
          <t>Meta Headline 1</t>
        </is>
      </c>
      <c r="B80" s="242" t="inlineStr">
        <is>
          <t>See the full 7-day lineup</t>
        </is>
      </c>
      <c r="C80" s="239" t="n"/>
      <c r="D80" s="239" t="n"/>
      <c r="E80" s="239" t="n"/>
      <c r="F80" s="239" t="n"/>
      <c r="G80" s="239" t="n"/>
      <c r="H80" s="239" t="n"/>
    </row>
    <row r="81">
      <c r="A81" s="246" t="inlineStr">
        <is>
          <t>Meta Headline 2</t>
        </is>
      </c>
      <c r="B81" s="242" t="inlineStr">
        <is>
          <t>Dr. Dispenza + 37 more. Free.</t>
        </is>
      </c>
      <c r="C81" s="239" t="n"/>
      <c r="D81" s="239" t="n"/>
      <c r="E81" s="239" t="n"/>
      <c r="F81" s="239" t="n"/>
      <c r="G81" s="239" t="n"/>
      <c r="H81" s="239" t="n"/>
    </row>
    <row r="82" ht="282.75" customHeight="1">
      <c r="A82" s="246" t="inlineStr">
        <is>
          <t>Meta Text</t>
        </is>
      </c>
      <c r="B82" s="243" t="inlineStr">
        <is>
          <t>The flow! summit 2026 is here — 38 of the world's most transformative teachers, 7 days, 100% free.
Here's exactly who you'll see and what they'll guide you through:
Day 1 — Reset: breathwork, Qigong &amp; sound healing (Jon Paul Crimi, Lee Holden, Deva Premal &amp; Miten)
Day 2 — Feel: mindfulness &amp; manifestation (Thich Nhat Hanh, Mandy Morris, Adam Roa)
Day 3 — Heal: trauma &amp; emotional release (Dr. Gabor Maté, Dr. Alex Loyd, Byron Katie)
Day 4 — Create: thoughts, reality &amp; energy (Bruce Lipton, Marie Diamond, Lee Harris)
Day 5 — Explore: karma &amp; consciousness (Sadhguru, Anita Moorjani, Kyle Gray)
Day 6 — Discover: quantum self &amp; living in the now (Eckhart Tolle, Gregg Braden, Thomas Campbell)
Day 7 — Become: Dr. Joe Dispenza closes the journey
Register free now. Your seat is waiting.</t>
        </is>
      </c>
      <c r="C82" s="239" t="n"/>
      <c r="D82" s="239" t="n"/>
      <c r="E82" s="239" t="n"/>
      <c r="F82" s="239" t="n"/>
      <c r="G82" s="239" t="n"/>
      <c r="H82" s="247" t="inlineStr">
        <is>
          <t>Graphic Title: 7 Days. 38 Teachers. Here's the Full Lineup.
Graphic Pre-header: flow! summit 2026 — 100% Free
Graphic CTA: See the Schedule — Register Free</t>
        </is>
      </c>
    </row>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pageMargins left="0.7" right="0.7" top="0.75" bottom="0.75" header="0.3" footer="0.3"/>
  <pageSetup orientation="portrait" paperSize="9"/>
</worksheet>
</file>

<file path=xl/worksheets/sheet7.xml><?xml version="1.0" encoding="utf-8"?>
<worksheet xmlns="http://schemas.openxmlformats.org/spreadsheetml/2006/main">
  <sheetPr>
    <tabColor rgb="FFFF0000"/>
    <outlinePr summaryBelow="1" summaryRight="1"/>
    <pageSetUpPr/>
  </sheetPr>
  <dimension ref="B2:F22"/>
  <sheetViews>
    <sheetView showGridLines="0" workbookViewId="0">
      <selection activeCell="F13" sqref="F13"/>
    </sheetView>
  </sheetViews>
  <sheetFormatPr baseColWidth="8" defaultColWidth="11.42578125" defaultRowHeight="15"/>
  <cols>
    <col width="3" customWidth="1" min="1" max="1"/>
    <col width="9" customWidth="1" min="2" max="2"/>
    <col width="45.5703125" customWidth="1" style="32" min="3" max="3"/>
    <col width="47.7109375" customWidth="1" min="4" max="4"/>
    <col width="37.85546875" customWidth="1" min="5" max="5"/>
    <col width="44.42578125" customWidth="1" min="6" max="6"/>
  </cols>
  <sheetData>
    <row r="2">
      <c r="B2" s="1" t="n"/>
      <c r="C2" s="33" t="n"/>
      <c r="D2" s="7" t="n"/>
    </row>
    <row r="3">
      <c r="B3" s="23" t="inlineStr">
        <is>
          <t>Number</t>
        </is>
      </c>
      <c r="C3" s="229" t="inlineStr">
        <is>
          <t>Snippets Downloadlinks:</t>
        </is>
      </c>
      <c r="D3" s="230" t="inlineStr">
        <is>
          <t>Snippet Name in Dropbox</t>
        </is>
      </c>
      <c r="E3" s="34" t="inlineStr">
        <is>
          <t>Text Overlay (original)</t>
        </is>
      </c>
      <c r="F3" s="24" t="inlineStr">
        <is>
          <t>Text Overlay (translated)</t>
        </is>
      </c>
    </row>
    <row r="4">
      <c r="B4" s="224" t="n">
        <v>1</v>
      </c>
      <c r="C4" s="182" t="n"/>
      <c r="D4" s="222" t="n"/>
      <c r="E4" s="225" t="n"/>
      <c r="F4" s="36" t="n"/>
    </row>
    <row r="5">
      <c r="B5" s="224" t="n">
        <v>2</v>
      </c>
      <c r="C5" s="182" t="n"/>
      <c r="D5" s="222" t="n"/>
      <c r="E5" s="226" t="n"/>
      <c r="F5" s="178" t="n"/>
    </row>
    <row r="6">
      <c r="B6" s="224" t="n">
        <v>3</v>
      </c>
      <c r="C6" s="182" t="n"/>
      <c r="D6" s="222" t="n"/>
      <c r="E6" s="226" t="n"/>
      <c r="F6" s="178" t="n"/>
    </row>
    <row r="7">
      <c r="B7" s="224" t="n">
        <v>4</v>
      </c>
      <c r="C7" s="182" t="n"/>
      <c r="D7" s="222" t="n"/>
      <c r="E7" s="227" t="n"/>
      <c r="F7" s="29" t="n"/>
    </row>
    <row r="8">
      <c r="B8" s="224" t="n">
        <v>5</v>
      </c>
      <c r="C8" s="182" t="n"/>
      <c r="D8" s="222" t="n"/>
      <c r="E8" s="227" t="n"/>
      <c r="F8" s="29" t="n"/>
    </row>
    <row r="9">
      <c r="B9" s="224" t="n">
        <v>6</v>
      </c>
      <c r="C9" s="223" t="n"/>
      <c r="D9" s="222" t="n"/>
      <c r="E9" s="228" t="n"/>
      <c r="F9" s="36" t="n"/>
    </row>
    <row r="10">
      <c r="B10" s="224" t="n">
        <v>7</v>
      </c>
      <c r="C10" s="223" t="n"/>
      <c r="D10" s="222" t="n"/>
      <c r="E10" s="228" t="n"/>
      <c r="F10" s="36" t="n"/>
    </row>
    <row r="11">
      <c r="B11" s="224" t="n">
        <v>8</v>
      </c>
      <c r="C11" s="223" t="n"/>
      <c r="D11" s="222" t="n"/>
      <c r="E11" s="228" t="n"/>
      <c r="F11" s="36" t="n"/>
    </row>
    <row r="12">
      <c r="B12" s="224" t="n">
        <v>9</v>
      </c>
      <c r="C12" s="223" t="n"/>
      <c r="D12" s="222" t="n"/>
      <c r="E12" s="228" t="n"/>
      <c r="F12" s="36" t="n"/>
    </row>
    <row r="13">
      <c r="B13" s="224" t="n">
        <v>10</v>
      </c>
      <c r="C13" s="223" t="n"/>
      <c r="D13" s="222" t="n"/>
      <c r="E13" s="228" t="n"/>
      <c r="F13" s="36" t="n"/>
    </row>
    <row r="15">
      <c r="B15" s="131" t="inlineStr">
        <is>
          <t>Link to BP Canva Folder:</t>
        </is>
      </c>
      <c r="C15" s="179" t="n"/>
      <c r="D15" s="131" t="inlineStr">
        <is>
          <t>Linked to Translated Canva Graphics:</t>
        </is>
      </c>
      <c r="E15" s="131" t="n"/>
    </row>
    <row r="18" ht="30.75" customHeight="1">
      <c r="C18" s="220" t="inlineStr">
        <is>
          <t>If you want the snippets localized, follow these steps:</t>
        </is>
      </c>
    </row>
    <row r="19">
      <c r="C19" s="221" t="inlineStr">
        <is>
          <t>1. Download the snippet SRTs and translate them</t>
        </is>
      </c>
    </row>
    <row r="20" ht="30.75" customHeight="1">
      <c r="C20" s="269" t="inlineStr">
        <is>
          <t>2. Copy the Blueprint Snippet End Cards to your local folder and translate them</t>
        </is>
      </c>
    </row>
    <row r="21" ht="30.75" customHeight="1">
      <c r="C21" s="269" t="inlineStr">
        <is>
          <t>3. Translate the Text Overlay you can find above in your local Translation Sheet</t>
        </is>
      </c>
    </row>
    <row r="22" ht="198" customHeight="1">
      <c r="C22" s="270" t="inlineStr">
        <is>
          <t xml:space="preserve">4. Send an email with a Snippet Localization Request to achilleasmz@gmail.com (keep mihai@younity.com in cc):
a) attach your translated snippet SRTs
b) add the link to your Canva folder with translated Snippet End Cards
c) add the link to your local Translation Sheet with your PPC Snippets tab translated
d) add the link to your local Dropbox folder where the final videos will be uploaded
e) provide your deadline - by when you need the snippets ready
</t>
        </is>
      </c>
    </row>
  </sheetData>
  <pageMargins left="0.7" right="0.7" top="0.787401575" bottom="0.7874015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FF0000"/>
    <outlinePr summaryBelow="1" summaryRight="1"/>
    <pageSetUpPr/>
  </sheetPr>
  <dimension ref="B2:E11"/>
  <sheetViews>
    <sheetView showGridLines="0" workbookViewId="0">
      <selection activeCell="D18" sqref="D18"/>
    </sheetView>
  </sheetViews>
  <sheetFormatPr baseColWidth="8" defaultColWidth="11.42578125" defaultRowHeight="15"/>
  <cols>
    <col width="3" customWidth="1" min="1" max="1"/>
    <col width="65.140625" customWidth="1" style="32" min="3" max="3"/>
    <col width="74.85546875" customWidth="1" min="4" max="4"/>
    <col width="52.140625" customWidth="1" min="5" max="5"/>
    <col width="37.85546875" customWidth="1" min="6" max="6"/>
  </cols>
  <sheetData>
    <row r="2">
      <c r="B2" s="1" t="inlineStr">
        <is>
          <t>Watch Video here-&gt; https://www.loom.com/share/efed106913f743739fc4548079fd8520</t>
        </is>
      </c>
      <c r="C2" s="33" t="n"/>
      <c r="D2" s="263" t="inlineStr">
        <is>
          <t>Dear tranlsator: Please share with Polina Batishcheva batishchevap@gmail.com</t>
        </is>
      </c>
    </row>
    <row r="3">
      <c r="B3" s="23" t="inlineStr">
        <is>
          <t>Number:</t>
        </is>
      </c>
      <c r="C3" s="34" t="inlineStr">
        <is>
          <t>Snippets Downloadlinks:</t>
        </is>
      </c>
      <c r="D3" s="24" t="inlineStr">
        <is>
          <t>Snippet Title (original)</t>
        </is>
      </c>
      <c r="E3" s="24" t="inlineStr">
        <is>
          <t>Snippet Title (translated)</t>
        </is>
      </c>
    </row>
    <row r="4">
      <c r="B4" s="26" t="inlineStr">
        <is>
          <t>1.</t>
        </is>
      </c>
      <c r="C4" s="115" t="n"/>
      <c r="D4" s="48" t="n"/>
      <c r="E4" s="44" t="n"/>
    </row>
    <row r="5">
      <c r="B5" s="26" t="inlineStr">
        <is>
          <t>2.</t>
        </is>
      </c>
      <c r="C5" s="115" t="n"/>
      <c r="D5" s="48" t="n"/>
      <c r="E5" s="44" t="n"/>
    </row>
    <row r="6">
      <c r="B6" s="26" t="inlineStr">
        <is>
          <t>3.</t>
        </is>
      </c>
      <c r="C6" s="115" t="n"/>
      <c r="D6" s="48" t="n"/>
      <c r="E6" s="44" t="n"/>
    </row>
    <row r="7">
      <c r="B7" s="26" t="inlineStr">
        <is>
          <t>4.</t>
        </is>
      </c>
      <c r="C7" s="115" t="n"/>
      <c r="D7" s="48" t="n"/>
      <c r="E7" s="44" t="n"/>
    </row>
    <row r="8">
      <c r="B8" s="28" t="inlineStr">
        <is>
          <t>5.</t>
        </is>
      </c>
      <c r="C8" s="115" t="n"/>
      <c r="D8" s="48" t="n"/>
      <c r="E8" s="45" t="n"/>
    </row>
    <row r="10">
      <c r="B10" s="23" t="inlineStr">
        <is>
          <t>Number:</t>
        </is>
      </c>
      <c r="C10" s="34" t="inlineStr">
        <is>
          <t>Call to Action (original)</t>
        </is>
      </c>
      <c r="D10" s="25" t="inlineStr">
        <is>
          <t>Call to Action (translated)</t>
        </is>
      </c>
      <c r="E10" s="24" t="inlineStr">
        <is>
          <t>Spalte1</t>
        </is>
      </c>
    </row>
    <row r="11">
      <c r="B11" s="26" t="n"/>
      <c r="C11" s="35" t="n"/>
      <c r="D11" s="36" t="n"/>
    </row>
  </sheetData>
  <mergeCells count="1">
    <mergeCell ref="D2:E2"/>
  </mergeCells>
  <pageMargins left="0.7" right="0.7" top="0.787401575" bottom="0.787401575" header="0.3" footer="0.3"/>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tabColor rgb="FFFF0000"/>
    <outlinePr summaryBelow="1" summaryRight="1"/>
    <pageSetUpPr/>
  </sheetPr>
  <dimension ref="A1:C14"/>
  <sheetViews>
    <sheetView workbookViewId="0">
      <selection activeCell="D13" sqref="D13"/>
    </sheetView>
  </sheetViews>
  <sheetFormatPr baseColWidth="8" defaultColWidth="11.42578125" defaultRowHeight="15"/>
  <cols>
    <col width="53.7109375" bestFit="1" customWidth="1" min="2" max="2"/>
    <col width="52.85546875" bestFit="1" customWidth="1" min="3" max="3"/>
  </cols>
  <sheetData>
    <row r="1">
      <c r="B1" s="2" t="inlineStr">
        <is>
          <t>Original</t>
        </is>
      </c>
      <c r="C1" s="50" t="inlineStr">
        <is>
          <t>Translated</t>
        </is>
      </c>
    </row>
    <row r="2">
      <c r="A2" s="51" t="inlineStr">
        <is>
          <t>Main</t>
        </is>
      </c>
      <c r="B2" s="51" t="n"/>
      <c r="C2" s="51" t="n"/>
    </row>
    <row r="3">
      <c r="A3" t="inlineStr">
        <is>
          <t>Title</t>
        </is>
      </c>
      <c r="B3" t="inlineStr">
        <is>
          <t>Send email right after registration</t>
        </is>
      </c>
      <c r="C3" s="46" t="n"/>
    </row>
    <row r="4">
      <c r="A4" t="inlineStr">
        <is>
          <t>Subject Line</t>
        </is>
      </c>
      <c r="B4" t="inlineStr">
        <is>
          <t>Thank you for signing up, {{name}}!</t>
        </is>
      </c>
      <c r="C4" s="52" t="n"/>
    </row>
    <row r="5" ht="90" customHeight="1">
      <c r="A5" t="inlineStr">
        <is>
          <t>Text</t>
        </is>
      </c>
      <c r="B5" s="4" t="inlineStr">
        <is>
          <t>Thank you for signing up for our campaign, {{name}}!
You have: {{total_points}} points. 
Your unique referral URL is:
{{referral_url}}
Share this link with your friends to get more points.
Thank you!</t>
        </is>
      </c>
      <c r="C5" s="47" t="n"/>
    </row>
    <row r="6">
      <c r="A6" s="51" t="inlineStr">
        <is>
          <t>Main</t>
        </is>
      </c>
      <c r="B6" s="51" t="n"/>
      <c r="C6" s="51" t="n"/>
    </row>
    <row r="7">
      <c r="A7" t="inlineStr">
        <is>
          <t>Title</t>
        </is>
      </c>
      <c r="B7" t="inlineStr">
        <is>
          <t>Send email on referral link signup</t>
        </is>
      </c>
      <c r="C7" s="46" t="n"/>
    </row>
    <row r="8">
      <c r="A8" t="inlineStr">
        <is>
          <t>Subject Line</t>
        </is>
      </c>
      <c r="B8" s="8" t="inlineStr">
        <is>
          <t>{{name}}, someone signed up through your referral link!</t>
        </is>
      </c>
      <c r="C8" s="53" t="n"/>
    </row>
    <row r="9" ht="120" customHeight="1">
      <c r="A9" t="inlineStr">
        <is>
          <t>Text</t>
        </is>
      </c>
      <c r="B9" s="4" t="inlineStr">
        <is>
          <t>Great news, {{name}} — someone just signed up through your referral link!
You have: {{total_points}} points. 
Your unique referral URL is:
{{referral_url}}
Keep sharing this link with your friends to get more points.
Thank you!</t>
        </is>
      </c>
      <c r="C9" s="47" t="n"/>
    </row>
    <row r="10">
      <c r="A10" s="51" t="inlineStr">
        <is>
          <t>Incetives</t>
        </is>
      </c>
      <c r="B10" s="51" t="n"/>
      <c r="C10" s="51" t="n"/>
    </row>
    <row r="11">
      <c r="A11" t="inlineStr">
        <is>
          <t>Title</t>
        </is>
      </c>
      <c r="B11" t="inlineStr">
        <is>
          <t>Send email when a Incentive "Your free video" is unlocked</t>
        </is>
      </c>
      <c r="C11" s="46" t="n"/>
    </row>
    <row r="12">
      <c r="A12" t="inlineStr">
        <is>
          <t>Subject Line</t>
        </is>
      </c>
      <c r="B12" t="inlineStr">
        <is>
          <t>{{name}}, you just unlocked a reward: {{reward_name}}!</t>
        </is>
      </c>
      <c r="C12" s="46" t="n"/>
    </row>
    <row r="13" ht="135" customHeight="1">
      <c r="A13" t="inlineStr">
        <is>
          <t>Text</t>
        </is>
      </c>
      <c r="B13" s="4" t="inlineStr">
        <is>
          <t>Awesome news, {{name}}.
You just unlocked: {{reward_name}}
To view the reward go to: {{reward_url}}
You have {{points_to_unlock}} points left to unlock the next reward. Keep sharing  your unique referral link with your friends to get more points.
Your unique referral URL is:
{{referral_url}}
Thank you!</t>
        </is>
      </c>
      <c r="C13" s="47" t="n"/>
    </row>
    <row r="14">
      <c r="A14" s="51" t="n"/>
      <c r="B14" s="51" t="n"/>
      <c r="C14" s="51" t="n"/>
    </row>
  </sheetData>
  <pageMargins left="0.7" right="0.7" top="0.787401575" bottom="0.787401575" header="0.3" footer="0.3"/>
</worksheet>
</file>

<file path=xl/worksheets/sheet10.xml><?xml version="1.0" encoding="utf-8"?>
<worksheet xmlns="http://schemas.openxmlformats.org/spreadsheetml/2006/main">
  <sheetPr>
    <tabColor rgb="FFFF0000"/>
    <outlinePr summaryBelow="1" summaryRight="1"/>
    <pageSetUpPr/>
  </sheetPr>
  <dimension ref="A1:J31"/>
  <sheetViews>
    <sheetView showGridLines="0" zoomScale="90" zoomScaleNormal="90" workbookViewId="0">
      <selection activeCell="F23" sqref="F23"/>
    </sheetView>
  </sheetViews>
  <sheetFormatPr baseColWidth="8" defaultColWidth="55.85546875" defaultRowHeight="15" customHeight="1"/>
  <cols>
    <col width="4" customWidth="1" min="1" max="1"/>
    <col width="28" customWidth="1" min="2" max="2"/>
    <col width="10" customWidth="1" min="3" max="3"/>
    <col width="28" customWidth="1" min="4" max="4"/>
    <col width="18.28515625" customWidth="1" min="5" max="5"/>
    <col width="17.5703125" customWidth="1" min="6" max="6"/>
    <col width="15.5703125" customWidth="1" min="7" max="7"/>
    <col width="93.7109375" customWidth="1" style="121" min="8" max="8"/>
  </cols>
  <sheetData>
    <row r="1" ht="15" customHeight="1">
      <c r="A1" s="78" t="n"/>
      <c r="B1" s="91" t="inlineStr">
        <is>
          <t>Domain</t>
        </is>
      </c>
      <c r="C1" s="78" t="n"/>
      <c r="D1" s="78" t="n"/>
      <c r="E1" s="78" t="n"/>
      <c r="F1" s="78" t="n"/>
      <c r="G1" s="78" t="n"/>
      <c r="H1" s="117" t="n"/>
      <c r="I1" s="78" t="n"/>
      <c r="J1" s="79" t="n"/>
    </row>
    <row r="2" ht="15" customHeight="1">
      <c r="A2" s="78" t="n"/>
      <c r="B2" s="115" t="inlineStr">
        <is>
          <t xml:space="preserve">https://www.flowsummitespanol.com/ </t>
        </is>
      </c>
      <c r="C2" s="78" t="n"/>
      <c r="D2" s="78" t="n"/>
      <c r="E2" s="78" t="n"/>
      <c r="F2" s="78" t="n"/>
      <c r="G2" s="78" t="n"/>
      <c r="H2" s="117" t="n"/>
      <c r="I2" s="79" t="n"/>
      <c r="J2" s="4" t="n"/>
    </row>
    <row r="3" ht="15" customHeight="1">
      <c r="A3" s="78" t="n"/>
      <c r="B3" s="80" t="inlineStr">
        <is>
          <t>Area</t>
        </is>
      </c>
      <c r="C3" s="81" t="inlineStr">
        <is>
          <t>Slug</t>
        </is>
      </c>
      <c r="D3" s="81" t="inlineStr">
        <is>
          <t>Target Link (original)</t>
        </is>
      </c>
      <c r="E3" s="81" t="inlineStr">
        <is>
          <t>Utm_source</t>
        </is>
      </c>
      <c r="F3" s="81" t="inlineStr">
        <is>
          <t>Utm_medium</t>
        </is>
      </c>
      <c r="G3" s="81" t="inlineStr">
        <is>
          <t>Utm_campaign</t>
        </is>
      </c>
      <c r="H3" s="118" t="inlineStr">
        <is>
          <t>UTM Link</t>
        </is>
      </c>
      <c r="I3" s="81" t="inlineStr">
        <is>
          <t>Shortened URL : Use Bit.ly to create a short UTM Link</t>
        </is>
      </c>
      <c r="J3" s="81" t="inlineStr">
        <is>
          <t>Note:</t>
        </is>
      </c>
    </row>
    <row r="4" ht="15" customHeight="1">
      <c r="A4" s="78" t="n"/>
      <c r="B4" s="82" t="inlineStr">
        <is>
          <t>Optin mail 1</t>
        </is>
      </c>
      <c r="C4" s="82" t="inlineStr">
        <is>
          <t>optin/</t>
        </is>
      </c>
      <c r="D4" s="82">
        <f>$B$2&amp;C4</f>
        <v/>
      </c>
      <c r="E4" s="82" t="inlineStr">
        <is>
          <t>activecampaign</t>
        </is>
      </c>
      <c r="F4" s="82" t="inlineStr">
        <is>
          <t>email</t>
        </is>
      </c>
      <c r="G4" s="74" t="inlineStr">
        <is>
          <t>optin1</t>
        </is>
      </c>
      <c r="H4" s="119">
        <f>_xlfn.CONCAT(D4,"?utm_source=",E4,"&amp;utm_medium=",F4,"&amp;utm_campaign=",G4)</f>
        <v/>
      </c>
      <c r="I4" s="82" t="inlineStr">
        <is>
          <t> </t>
        </is>
      </c>
      <c r="J4" s="74" t="inlineStr">
        <is>
          <t>If split testing please create additional UTM's with optin1a and optin1b as your campaign names</t>
        </is>
      </c>
    </row>
    <row r="5" ht="15" customHeight="1">
      <c r="A5" s="83" t="inlineStr">
        <is>
          <t> </t>
        </is>
      </c>
      <c r="B5" s="84" t="inlineStr">
        <is>
          <t>Optin mail 2</t>
        </is>
      </c>
      <c r="C5" s="84" t="inlineStr">
        <is>
          <t>optin/</t>
        </is>
      </c>
      <c r="D5" s="84">
        <f>$B$2&amp;C5</f>
        <v/>
      </c>
      <c r="E5" s="84" t="inlineStr">
        <is>
          <t>activecampaign</t>
        </is>
      </c>
      <c r="F5" s="84" t="inlineStr">
        <is>
          <t>email</t>
        </is>
      </c>
      <c r="G5" s="75" t="inlineStr">
        <is>
          <t>optin2</t>
        </is>
      </c>
      <c r="H5" s="120">
        <f>_xlfn.CONCAT(D5,"?utm_source=",E5,"&amp;utm_medium=",F5,"&amp;utm_campaign=",G5)</f>
        <v/>
      </c>
      <c r="I5" s="84" t="inlineStr">
        <is>
          <t> </t>
        </is>
      </c>
      <c r="J5" s="85" t="inlineStr">
        <is>
          <t> </t>
        </is>
      </c>
    </row>
    <row r="6" ht="15" customHeight="1">
      <c r="A6" s="78" t="n"/>
      <c r="B6" s="82" t="inlineStr">
        <is>
          <t>Optin mail 3</t>
        </is>
      </c>
      <c r="C6" s="82" t="inlineStr">
        <is>
          <t>optin/</t>
        </is>
      </c>
      <c r="D6" s="82">
        <f>$B$2&amp;C6</f>
        <v/>
      </c>
      <c r="E6" s="82" t="inlineStr">
        <is>
          <t>activecampaign</t>
        </is>
      </c>
      <c r="F6" s="82" t="inlineStr">
        <is>
          <t>email</t>
        </is>
      </c>
      <c r="G6" s="74" t="inlineStr">
        <is>
          <t>optin3</t>
        </is>
      </c>
      <c r="H6" s="119">
        <f>_xlfn.CONCAT(D6,"?utm_source=",E6,"&amp;utm_medium=",F6,"&amp;utm_campaign=",G6)</f>
        <v/>
      </c>
      <c r="I6" s="82" t="inlineStr">
        <is>
          <t> </t>
        </is>
      </c>
      <c r="J6" s="86" t="inlineStr">
        <is>
          <t> </t>
        </is>
      </c>
    </row>
    <row r="7" ht="15" customHeight="1">
      <c r="A7" s="78" t="n"/>
      <c r="B7" s="84" t="inlineStr">
        <is>
          <t>Optin mail 4</t>
        </is>
      </c>
      <c r="C7" s="84" t="inlineStr">
        <is>
          <t>optin/</t>
        </is>
      </c>
      <c r="D7" s="84">
        <f>$B$2&amp;C7</f>
        <v/>
      </c>
      <c r="E7" s="84" t="inlineStr">
        <is>
          <t>activecampaign</t>
        </is>
      </c>
      <c r="F7" s="84" t="inlineStr">
        <is>
          <t>email</t>
        </is>
      </c>
      <c r="G7" s="75" t="inlineStr">
        <is>
          <t>optin4</t>
        </is>
      </c>
      <c r="H7" s="120">
        <f>_xlfn.CONCAT(D7,"?utm_source=",E7,"&amp;utm_medium=",F7,"&amp;utm_campaign=",G7)</f>
        <v/>
      </c>
      <c r="I7" s="84" t="inlineStr">
        <is>
          <t> </t>
        </is>
      </c>
      <c r="J7" s="85" t="inlineStr">
        <is>
          <t> </t>
        </is>
      </c>
    </row>
    <row r="8" ht="15" customHeight="1">
      <c r="A8" s="78" t="n"/>
      <c r="B8" s="82" t="inlineStr">
        <is>
          <t>Optin mail 5</t>
        </is>
      </c>
      <c r="C8" s="82" t="inlineStr">
        <is>
          <t>optin/</t>
        </is>
      </c>
      <c r="D8" s="82">
        <f>$B$2&amp;C8</f>
        <v/>
      </c>
      <c r="E8" s="82" t="inlineStr">
        <is>
          <t>activecampaign</t>
        </is>
      </c>
      <c r="F8" s="82" t="inlineStr">
        <is>
          <t>email</t>
        </is>
      </c>
      <c r="G8" s="74" t="inlineStr">
        <is>
          <t>optin5</t>
        </is>
      </c>
      <c r="H8" s="119">
        <f>_xlfn.CONCAT(D8,"?utm_source=",E8,"&amp;utm_medium=",F8,"&amp;utm_campaign=",G8)</f>
        <v/>
      </c>
      <c r="I8" s="82" t="inlineStr">
        <is>
          <t> </t>
        </is>
      </c>
      <c r="J8" s="86" t="inlineStr">
        <is>
          <t> </t>
        </is>
      </c>
    </row>
    <row r="9" ht="15" customHeight="1">
      <c r="A9" s="78" t="n"/>
      <c r="B9" s="84" t="inlineStr">
        <is>
          <t>Optin mail 6</t>
        </is>
      </c>
      <c r="C9" s="84" t="inlineStr">
        <is>
          <t>optin/</t>
        </is>
      </c>
      <c r="D9" s="84">
        <f>$B$2&amp;C9</f>
        <v/>
      </c>
      <c r="E9" s="84" t="inlineStr">
        <is>
          <t>activecampaign</t>
        </is>
      </c>
      <c r="F9" s="84" t="inlineStr">
        <is>
          <t>email</t>
        </is>
      </c>
      <c r="G9" s="75" t="inlineStr">
        <is>
          <t>optin6</t>
        </is>
      </c>
      <c r="H9" s="120">
        <f>_xlfn.CONCAT(D9,"?utm_source=",E9,"&amp;utm_medium=",F9,"&amp;utm_campaign=",G9)</f>
        <v/>
      </c>
      <c r="I9" s="84" t="inlineStr">
        <is>
          <t> </t>
        </is>
      </c>
      <c r="J9" s="85" t="inlineStr">
        <is>
          <t> </t>
        </is>
      </c>
    </row>
    <row r="10" ht="15" customHeight="1">
      <c r="A10" s="78" t="n"/>
      <c r="B10" s="82" t="inlineStr">
        <is>
          <t>Warmup mails</t>
        </is>
      </c>
      <c r="C10" s="82" t="inlineStr">
        <is>
          <t>optin/</t>
        </is>
      </c>
      <c r="D10" s="82">
        <f>$B$2&amp;C10</f>
        <v/>
      </c>
      <c r="E10" s="82" t="inlineStr">
        <is>
          <t>activecampaign</t>
        </is>
      </c>
      <c r="F10" s="82" t="inlineStr">
        <is>
          <t>email</t>
        </is>
      </c>
      <c r="G10" s="74" t="inlineStr">
        <is>
          <t>warmup</t>
        </is>
      </c>
      <c r="H10" s="119">
        <f>_xlfn.CONCAT(D10,"?utm_source=",E10,"&amp;utm_medium=",F10,"&amp;utm_campaign=",G10)</f>
        <v/>
      </c>
      <c r="I10" s="82" t="inlineStr">
        <is>
          <t> </t>
        </is>
      </c>
      <c r="J10" s="74" t="inlineStr">
        <is>
          <t>We add this to the share with friends links</t>
        </is>
      </c>
    </row>
    <row r="11" ht="15" customHeight="1">
      <c r="A11" s="78" t="n"/>
      <c r="B11" s="84" t="inlineStr">
        <is>
          <t>FB Lead Gen</t>
        </is>
      </c>
      <c r="C11" s="84" t="inlineStr">
        <is>
          <t>optin/</t>
        </is>
      </c>
      <c r="D11" s="84">
        <f>$B$2&amp;C11</f>
        <v/>
      </c>
      <c r="E11" s="84" t="inlineStr">
        <is>
          <t>facebook</t>
        </is>
      </c>
      <c r="F11" s="84" t="inlineStr">
        <is>
          <t>cpc</t>
        </is>
      </c>
      <c r="G11" s="87">
        <f>Intro!$C$14</f>
        <v/>
      </c>
      <c r="H11" s="120">
        <f>_xlfn.CONCAT(D11,"?utm_source=",E11,"&amp;utm_medium=",F11,"&amp;utm_campaign=",G11)</f>
        <v/>
      </c>
      <c r="I11" s="84" t="inlineStr">
        <is>
          <t> </t>
        </is>
      </c>
      <c r="J11" s="85" t="inlineStr">
        <is>
          <t>Please update yelow highlight with localized course code</t>
        </is>
      </c>
    </row>
    <row r="12" ht="15" customHeight="1">
      <c r="A12" s="78" t="n"/>
      <c r="B12" s="82" t="inlineStr">
        <is>
          <t>Facebook Group Optin</t>
        </is>
      </c>
      <c r="C12" s="82" t="inlineStr">
        <is>
          <t>optin/</t>
        </is>
      </c>
      <c r="D12" s="82">
        <f>$B$2&amp;C12</f>
        <v/>
      </c>
      <c r="E12" s="82" t="inlineStr">
        <is>
          <t>facebook</t>
        </is>
      </c>
      <c r="F12" s="82" t="inlineStr">
        <is>
          <t>group</t>
        </is>
      </c>
      <c r="G12" s="74" t="inlineStr">
        <is>
          <t>fbgroup-optin</t>
        </is>
      </c>
      <c r="H12" s="119">
        <f>_xlfn.CONCAT(D12,"?utm_source=",E12,"&amp;utm_medium=",F12,"&amp;utm_campaign=",G12)</f>
        <v/>
      </c>
      <c r="I12" s="82" t="n"/>
      <c r="J12" s="86" t="inlineStr">
        <is>
          <t> </t>
        </is>
      </c>
    </row>
    <row r="13" ht="15" customHeight="1">
      <c r="A13" s="78" t="n"/>
      <c r="B13" s="84" t="inlineStr">
        <is>
          <t>Facebook Page Optin</t>
        </is>
      </c>
      <c r="C13" s="84" t="inlineStr">
        <is>
          <t>optin/</t>
        </is>
      </c>
      <c r="D13" s="84">
        <f>$B$2&amp;C13</f>
        <v/>
      </c>
      <c r="E13" s="84" t="inlineStr">
        <is>
          <t>facebook</t>
        </is>
      </c>
      <c r="F13" s="84" t="inlineStr">
        <is>
          <t>page</t>
        </is>
      </c>
      <c r="G13" s="76" t="inlineStr">
        <is>
          <t>fbpage-optin</t>
        </is>
      </c>
      <c r="H13" s="120">
        <f>_xlfn.CONCAT(D13,"?utm_source=",E13,"&amp;utm_medium=",F13,"&amp;utm_campaign=",G13)</f>
        <v/>
      </c>
      <c r="I13" s="84" t="inlineStr">
        <is>
          <t> </t>
        </is>
      </c>
      <c r="J13" s="88" t="inlineStr">
        <is>
          <t> </t>
        </is>
      </c>
    </row>
    <row r="14" ht="15" customHeight="1">
      <c r="A14" s="78" t="n"/>
      <c r="B14" s="82" t="inlineStr">
        <is>
          <t>Insta Profile Link</t>
        </is>
      </c>
      <c r="C14" s="82" t="inlineStr">
        <is>
          <t>optin/</t>
        </is>
      </c>
      <c r="D14" s="82">
        <f>$B$2&amp;C14</f>
        <v/>
      </c>
      <c r="E14" s="82" t="inlineStr">
        <is>
          <t>instagram</t>
        </is>
      </c>
      <c r="F14" s="82" t="inlineStr">
        <is>
          <t>profile</t>
        </is>
      </c>
      <c r="G14" s="74" t="inlineStr">
        <is>
          <t>insta-optin</t>
        </is>
      </c>
      <c r="H14" s="119">
        <f>_xlfn.CONCAT(D14,"?utm_source=",E14,"&amp;utm_medium=",F14,"&amp;utm_campaign=",G14)</f>
        <v/>
      </c>
      <c r="I14" s="82" t="inlineStr">
        <is>
          <t> </t>
        </is>
      </c>
      <c r="J14" s="86" t="inlineStr">
        <is>
          <t> </t>
        </is>
      </c>
    </row>
    <row r="15" ht="15" customHeight="1">
      <c r="A15" s="78" t="n"/>
      <c r="B15" s="84" t="inlineStr">
        <is>
          <t>Insta Story Link</t>
        </is>
      </c>
      <c r="C15" s="84" t="inlineStr">
        <is>
          <t>optin/</t>
        </is>
      </c>
      <c r="D15" s="84">
        <f>$B$2&amp;C15</f>
        <v/>
      </c>
      <c r="E15" s="84" t="inlineStr">
        <is>
          <t>instagram</t>
        </is>
      </c>
      <c r="F15" s="84" t="inlineStr">
        <is>
          <t>story</t>
        </is>
      </c>
      <c r="G15" s="75" t="inlineStr">
        <is>
          <t>insta-optin</t>
        </is>
      </c>
      <c r="H15" s="120">
        <f>_xlfn.CONCAT(D15,"?utm_source=",E15,"&amp;utm_medium=",F15,"&amp;utm_campaign=",G15)</f>
        <v/>
      </c>
      <c r="I15" s="84" t="inlineStr">
        <is>
          <t> </t>
        </is>
      </c>
      <c r="J15" s="85" t="inlineStr">
        <is>
          <t> </t>
        </is>
      </c>
    </row>
    <row r="16" ht="15" customHeight="1">
      <c r="A16" s="78" t="n"/>
      <c r="B16" s="82" t="inlineStr">
        <is>
          <t>Telegram Optin</t>
        </is>
      </c>
      <c r="C16" s="82" t="inlineStr">
        <is>
          <t>optin/</t>
        </is>
      </c>
      <c r="D16" s="82">
        <f>$B$2&amp;C16</f>
        <v/>
      </c>
      <c r="E16" s="82" t="inlineStr">
        <is>
          <t>telegram</t>
        </is>
      </c>
      <c r="F16" s="82" t="inlineStr">
        <is>
          <t>channel</t>
        </is>
      </c>
      <c r="G16" s="77" t="inlineStr">
        <is>
          <t>telegram-optin</t>
        </is>
      </c>
      <c r="H16" s="119">
        <f>_xlfn.CONCAT(D16,"?utm_source=",E16,"&amp;utm_medium=",F16,"&amp;utm_campaign=",G16)</f>
        <v/>
      </c>
      <c r="I16" s="82" t="inlineStr">
        <is>
          <t> </t>
        </is>
      </c>
      <c r="J16" s="86" t="inlineStr">
        <is>
          <t> </t>
        </is>
      </c>
    </row>
    <row r="17" ht="15" customHeight="1">
      <c r="A17" s="78" t="n"/>
      <c r="B17" s="84" t="inlineStr">
        <is>
          <t>Youtube Optin</t>
        </is>
      </c>
      <c r="C17" s="84" t="inlineStr">
        <is>
          <t>optin/</t>
        </is>
      </c>
      <c r="D17" s="84">
        <f>$B$2&amp;C17</f>
        <v/>
      </c>
      <c r="E17" s="84" t="inlineStr">
        <is>
          <t>youtube</t>
        </is>
      </c>
      <c r="F17" s="84" t="inlineStr">
        <is>
          <t>video</t>
        </is>
      </c>
      <c r="G17" s="89" t="inlineStr">
        <is>
          <t>youtube-optin</t>
        </is>
      </c>
      <c r="H17" s="120">
        <f>_xlfn.CONCAT(D17,"?utm_source=",E17,"&amp;utm_medium=",F17,"&amp;utm_campaign=",G17)</f>
        <v/>
      </c>
      <c r="I17" s="84" t="inlineStr">
        <is>
          <t> </t>
        </is>
      </c>
      <c r="J17" s="90" t="inlineStr">
        <is>
          <t> </t>
        </is>
      </c>
    </row>
    <row r="18" ht="15" customHeight="1">
      <c r="A18" s="78" t="n"/>
      <c r="B18" s="84" t="inlineStr">
        <is>
          <t>Offer Mail - Sales 1</t>
        </is>
      </c>
      <c r="C18" s="84" t="inlineStr">
        <is>
          <t>offer/</t>
        </is>
      </c>
      <c r="D18" s="84">
        <f>$B$2&amp;C18</f>
        <v/>
      </c>
      <c r="E18" s="84" t="inlineStr">
        <is>
          <t>activecampaign</t>
        </is>
      </c>
      <c r="F18" s="84" t="inlineStr">
        <is>
          <t>email</t>
        </is>
      </c>
      <c r="G18" s="75" t="inlineStr">
        <is>
          <t>sales1</t>
        </is>
      </c>
      <c r="H18" s="120">
        <f>_xlfn.CONCAT(D18,"?utm_source=",E18,"&amp;utm_medium=",F18,"&amp;utm_campaign=",G18)</f>
        <v/>
      </c>
      <c r="I18" s="84" t="inlineStr">
        <is>
          <t> </t>
        </is>
      </c>
      <c r="J18" s="85" t="inlineStr">
        <is>
          <t> </t>
        </is>
      </c>
    </row>
    <row r="19" ht="15" customHeight="1">
      <c r="A19" s="78" t="n"/>
      <c r="B19" s="82" t="inlineStr">
        <is>
          <t>Offer Mail - Sales 2</t>
        </is>
      </c>
      <c r="C19" s="82" t="inlineStr">
        <is>
          <t>offer/</t>
        </is>
      </c>
      <c r="D19" s="82">
        <f>$B$2&amp;C19</f>
        <v/>
      </c>
      <c r="E19" s="82" t="inlineStr">
        <is>
          <t>activecampaign</t>
        </is>
      </c>
      <c r="F19" s="82" t="inlineStr">
        <is>
          <t>email</t>
        </is>
      </c>
      <c r="G19" s="74" t="inlineStr">
        <is>
          <t>sales2</t>
        </is>
      </c>
      <c r="H19" s="119">
        <f>_xlfn.CONCAT(D19,"?utm_source=",E19,"&amp;utm_medium=",F19,"&amp;utm_campaign=",G19)</f>
        <v/>
      </c>
      <c r="I19" s="82" t="inlineStr">
        <is>
          <t> </t>
        </is>
      </c>
      <c r="J19" s="86" t="inlineStr">
        <is>
          <t> </t>
        </is>
      </c>
    </row>
    <row r="20" ht="15" customHeight="1">
      <c r="A20" s="78" t="n"/>
      <c r="B20" s="84" t="inlineStr">
        <is>
          <t>Offer Mail - Sales 3</t>
        </is>
      </c>
      <c r="C20" s="84" t="inlineStr">
        <is>
          <t>offer/</t>
        </is>
      </c>
      <c r="D20" s="84">
        <f>$B$2&amp;C20</f>
        <v/>
      </c>
      <c r="E20" s="84" t="inlineStr">
        <is>
          <t>activecampaign</t>
        </is>
      </c>
      <c r="F20" s="84" t="inlineStr">
        <is>
          <t>email</t>
        </is>
      </c>
      <c r="G20" s="75" t="inlineStr">
        <is>
          <t>sales3</t>
        </is>
      </c>
      <c r="H20" s="120">
        <f>_xlfn.CONCAT(D20,"?utm_source=",E20,"&amp;utm_medium=",F20,"&amp;utm_campaign=",G20)</f>
        <v/>
      </c>
      <c r="I20" s="84" t="inlineStr">
        <is>
          <t> </t>
        </is>
      </c>
      <c r="J20" s="85" t="inlineStr">
        <is>
          <t> </t>
        </is>
      </c>
    </row>
    <row r="21" ht="15" customHeight="1">
      <c r="A21" s="78" t="n"/>
      <c r="B21" s="82" t="inlineStr">
        <is>
          <t>Offer Mail - Sales 4</t>
        </is>
      </c>
      <c r="C21" s="82" t="inlineStr">
        <is>
          <t>offer/</t>
        </is>
      </c>
      <c r="D21" s="82">
        <f>$B$2&amp;C21</f>
        <v/>
      </c>
      <c r="E21" s="82" t="inlineStr">
        <is>
          <t>activecampaign</t>
        </is>
      </c>
      <c r="F21" s="82" t="inlineStr">
        <is>
          <t>email</t>
        </is>
      </c>
      <c r="G21" s="74" t="inlineStr">
        <is>
          <t>sales4</t>
        </is>
      </c>
      <c r="H21" s="119">
        <f>_xlfn.CONCAT(D21,"?utm_source=",E21,"&amp;utm_medium=",F21,"&amp;utm_campaign=",G21)</f>
        <v/>
      </c>
      <c r="I21" s="82" t="inlineStr">
        <is>
          <t> </t>
        </is>
      </c>
      <c r="J21" s="86" t="inlineStr">
        <is>
          <t> </t>
        </is>
      </c>
    </row>
    <row r="22" ht="15" customHeight="1">
      <c r="A22" s="78" t="n"/>
      <c r="B22" s="84" t="inlineStr">
        <is>
          <t>Offer Mail - Sales 5</t>
        </is>
      </c>
      <c r="C22" s="84" t="inlineStr">
        <is>
          <t>offer/</t>
        </is>
      </c>
      <c r="D22" s="84">
        <f>$B$2&amp;C22</f>
        <v/>
      </c>
      <c r="E22" s="84" t="inlineStr">
        <is>
          <t>activecampaign</t>
        </is>
      </c>
      <c r="F22" s="84" t="inlineStr">
        <is>
          <t>email</t>
        </is>
      </c>
      <c r="G22" s="75" t="inlineStr">
        <is>
          <t>sales5</t>
        </is>
      </c>
      <c r="H22" s="120">
        <f>_xlfn.CONCAT(D22,"?utm_source=",E22,"&amp;utm_medium=",F22,"&amp;utm_campaign=",G22)</f>
        <v/>
      </c>
      <c r="I22" s="84" t="inlineStr">
        <is>
          <t> </t>
        </is>
      </c>
      <c r="J22" s="85" t="inlineStr">
        <is>
          <t> </t>
        </is>
      </c>
    </row>
    <row r="23" ht="15" customHeight="1">
      <c r="A23" s="78" t="n"/>
      <c r="B23" s="82" t="inlineStr">
        <is>
          <t>Offer Mail - Sales 6</t>
        </is>
      </c>
      <c r="C23" s="82" t="inlineStr">
        <is>
          <t>offer/</t>
        </is>
      </c>
      <c r="D23" s="82">
        <f>$B$2&amp;C23</f>
        <v/>
      </c>
      <c r="E23" s="82" t="inlineStr">
        <is>
          <t>activecampaign</t>
        </is>
      </c>
      <c r="F23" s="82" t="inlineStr">
        <is>
          <t>email</t>
        </is>
      </c>
      <c r="G23" s="74" t="inlineStr">
        <is>
          <t>sales6</t>
        </is>
      </c>
      <c r="H23" s="119">
        <f>_xlfn.CONCAT(D23,"?utm_source=",E23,"&amp;utm_medium=",F23,"&amp;utm_campaign=",G23)</f>
        <v/>
      </c>
      <c r="I23" s="82" t="inlineStr">
        <is>
          <t> </t>
        </is>
      </c>
      <c r="J23" s="86" t="inlineStr">
        <is>
          <t> </t>
        </is>
      </c>
    </row>
    <row r="24" ht="15" customHeight="1">
      <c r="A24" s="78" t="n"/>
      <c r="B24" s="84" t="inlineStr">
        <is>
          <t>Offer Mail - Sales 7</t>
        </is>
      </c>
      <c r="C24" s="84" t="inlineStr">
        <is>
          <t>offer/</t>
        </is>
      </c>
      <c r="D24" s="84">
        <f>$B$2&amp;C24</f>
        <v/>
      </c>
      <c r="E24" s="84" t="inlineStr">
        <is>
          <t>activecampaign</t>
        </is>
      </c>
      <c r="F24" s="84" t="inlineStr">
        <is>
          <t>email</t>
        </is>
      </c>
      <c r="G24" s="75" t="inlineStr">
        <is>
          <t>sales7</t>
        </is>
      </c>
      <c r="H24" s="120">
        <f>_xlfn.CONCAT(D24,"?utm_source=",E24,"&amp;utm_medium=",F24,"&amp;utm_campaign=",G24)</f>
        <v/>
      </c>
      <c r="I24" s="84" t="inlineStr">
        <is>
          <t> </t>
        </is>
      </c>
      <c r="J24" s="85" t="inlineStr">
        <is>
          <t> </t>
        </is>
      </c>
    </row>
    <row r="25" ht="15" customHeight="1">
      <c r="A25" s="78" t="n"/>
      <c r="B25" s="82" t="inlineStr">
        <is>
          <t>FB Remarketing</t>
        </is>
      </c>
      <c r="C25" s="82" t="inlineStr">
        <is>
          <t>offer/</t>
        </is>
      </c>
      <c r="D25" s="82">
        <f>$B$2&amp;C25</f>
        <v/>
      </c>
      <c r="E25" s="82" t="inlineStr">
        <is>
          <t>facebook</t>
        </is>
      </c>
      <c r="F25" s="82" t="inlineStr">
        <is>
          <t>cpc</t>
        </is>
      </c>
      <c r="G25" s="87">
        <f>G11</f>
        <v/>
      </c>
      <c r="H25" s="119">
        <f>_xlfn.CONCAT(D25,"?utm_source=",E25,"&amp;utm_medium=",F25,"&amp;utm_campaign=",G25)</f>
        <v/>
      </c>
      <c r="I25" s="82" t="inlineStr">
        <is>
          <t> </t>
        </is>
      </c>
      <c r="J25" s="85" t="inlineStr">
        <is>
          <t>Please update yelow highlight with localized course code</t>
        </is>
      </c>
    </row>
    <row r="26" ht="15" customHeight="1">
      <c r="A26" s="78" t="n"/>
      <c r="B26" s="84" t="inlineStr">
        <is>
          <t>Facebook Group Offer</t>
        </is>
      </c>
      <c r="C26" s="84" t="inlineStr">
        <is>
          <t>offer/</t>
        </is>
      </c>
      <c r="D26" s="84">
        <f>$B$2&amp;C26</f>
        <v/>
      </c>
      <c r="E26" s="84" t="inlineStr">
        <is>
          <t>facebook</t>
        </is>
      </c>
      <c r="F26" s="84" t="inlineStr">
        <is>
          <t>group</t>
        </is>
      </c>
      <c r="G26" s="75" t="inlineStr">
        <is>
          <t>fbgroup-offer</t>
        </is>
      </c>
      <c r="H26" s="120">
        <f>_xlfn.CONCAT(D26,"?utm_source=",E26,"&amp;utm_medium=",F26,"&amp;utm_campaign=",G26)</f>
        <v/>
      </c>
      <c r="I26" s="84" t="inlineStr">
        <is>
          <t> </t>
        </is>
      </c>
      <c r="J26" s="85" t="inlineStr">
        <is>
          <t> </t>
        </is>
      </c>
    </row>
    <row r="27" ht="15" customHeight="1">
      <c r="A27" s="78" t="n"/>
      <c r="B27" s="82" t="inlineStr">
        <is>
          <t>Facebook Page Offer</t>
        </is>
      </c>
      <c r="C27" s="82" t="inlineStr">
        <is>
          <t>offer/</t>
        </is>
      </c>
      <c r="D27" s="82">
        <f>$B$2&amp;C27</f>
        <v/>
      </c>
      <c r="E27" s="82" t="inlineStr">
        <is>
          <t>facebook</t>
        </is>
      </c>
      <c r="F27" s="82" t="inlineStr">
        <is>
          <t>page</t>
        </is>
      </c>
      <c r="G27" s="77" t="inlineStr">
        <is>
          <t>fbpage-offer</t>
        </is>
      </c>
      <c r="H27" s="119">
        <f>_xlfn.CONCAT(D27,"?utm_source=",E27,"&amp;utm_medium=",F27,"&amp;utm_campaign=",G27)</f>
        <v/>
      </c>
      <c r="I27" s="82" t="inlineStr">
        <is>
          <t> </t>
        </is>
      </c>
      <c r="J27" s="85" t="inlineStr">
        <is>
          <t> </t>
        </is>
      </c>
    </row>
    <row r="28" ht="15" customHeight="1">
      <c r="A28" s="78" t="n"/>
      <c r="B28" s="84" t="inlineStr">
        <is>
          <t>Insta Offer</t>
        </is>
      </c>
      <c r="C28" s="84" t="inlineStr">
        <is>
          <t>offer/</t>
        </is>
      </c>
      <c r="D28" s="84">
        <f>$B$2&amp;C28</f>
        <v/>
      </c>
      <c r="E28" s="84" t="inlineStr">
        <is>
          <t>instagram</t>
        </is>
      </c>
      <c r="F28" s="84" t="inlineStr">
        <is>
          <t>profile</t>
        </is>
      </c>
      <c r="G28" s="75" t="inlineStr">
        <is>
          <t>insta-offer</t>
        </is>
      </c>
      <c r="H28" s="120">
        <f>_xlfn.CONCAT(D28,"?utm_source=",E28,"&amp;utm_medium=",F28,"&amp;utm_campaign=",G28)</f>
        <v/>
      </c>
      <c r="I28" s="84" t="inlineStr">
        <is>
          <t> </t>
        </is>
      </c>
      <c r="J28" s="85" t="inlineStr">
        <is>
          <t> </t>
        </is>
      </c>
    </row>
    <row r="29" ht="15" customHeight="1">
      <c r="A29" s="78" t="n"/>
      <c r="B29" s="82" t="inlineStr">
        <is>
          <t>Insta Offer</t>
        </is>
      </c>
      <c r="C29" s="82" t="inlineStr">
        <is>
          <t>offer/</t>
        </is>
      </c>
      <c r="D29" s="82">
        <f>$B$2&amp;C29</f>
        <v/>
      </c>
      <c r="E29" s="82" t="inlineStr">
        <is>
          <t>instagram</t>
        </is>
      </c>
      <c r="F29" s="82" t="inlineStr">
        <is>
          <t>story</t>
        </is>
      </c>
      <c r="G29" s="74" t="inlineStr">
        <is>
          <t>insta-offer</t>
        </is>
      </c>
      <c r="H29" s="119">
        <f>_xlfn.CONCAT(D29,"?utm_source=",E29,"&amp;utm_medium=",F29,"&amp;utm_campaign=",G29)</f>
        <v/>
      </c>
      <c r="I29" s="82" t="inlineStr">
        <is>
          <t> </t>
        </is>
      </c>
      <c r="J29" s="86" t="inlineStr">
        <is>
          <t> </t>
        </is>
      </c>
    </row>
    <row r="30" ht="15" customHeight="1">
      <c r="A30" s="78" t="n"/>
      <c r="B30" s="84" t="inlineStr">
        <is>
          <t>telegram Offer</t>
        </is>
      </c>
      <c r="C30" s="84" t="inlineStr">
        <is>
          <t>offer/</t>
        </is>
      </c>
      <c r="D30" s="84">
        <f>$B$2&amp;C30</f>
        <v/>
      </c>
      <c r="E30" s="84" t="inlineStr">
        <is>
          <t>telegram</t>
        </is>
      </c>
      <c r="F30" s="84" t="inlineStr">
        <is>
          <t>channel</t>
        </is>
      </c>
      <c r="G30" s="89" t="inlineStr">
        <is>
          <t>telegram-offer</t>
        </is>
      </c>
      <c r="H30" s="120">
        <f>_xlfn.CONCAT(D30,"?utm_source=",E30,"&amp;utm_medium=",F30,"&amp;utm_campaign=",G30)</f>
        <v/>
      </c>
      <c r="I30" s="84" t="inlineStr">
        <is>
          <t> </t>
        </is>
      </c>
      <c r="J30" s="90" t="inlineStr">
        <is>
          <t> </t>
        </is>
      </c>
    </row>
    <row r="31" ht="15" customHeight="1">
      <c r="A31" s="78" t="n"/>
      <c r="B31" s="84" t="inlineStr">
        <is>
          <t>Youtube Offer</t>
        </is>
      </c>
      <c r="C31" s="84" t="inlineStr">
        <is>
          <t>offer/</t>
        </is>
      </c>
      <c r="D31" s="84">
        <f>$B$2&amp;C31</f>
        <v/>
      </c>
      <c r="E31" s="84" t="inlineStr">
        <is>
          <t>youtube</t>
        </is>
      </c>
      <c r="F31" s="84" t="inlineStr">
        <is>
          <t>video</t>
        </is>
      </c>
      <c r="G31" s="89" t="inlineStr">
        <is>
          <t>youtube-offer</t>
        </is>
      </c>
      <c r="H31" s="120">
        <f>_xlfn.CONCAT(D31,"?utm_source=",E31,"&amp;utm_medium=",F31,"&amp;utm_campaign=",G31)</f>
        <v/>
      </c>
      <c r="I31" s="84" t="inlineStr">
        <is>
          <t> </t>
        </is>
      </c>
      <c r="J31" s="90" t="inlineStr">
        <is>
          <t> </t>
        </is>
      </c>
    </row>
  </sheetData>
  <hyperlinks>
    <hyperlink xmlns:r="http://schemas.openxmlformats.org/officeDocument/2006/relationships" ref="B2" r:id="rId1"/>
  </hyperlinks>
  <pageMargins left="0.7" right="0.7" top="0.75" bottom="0.75" header="0.3" footer="0.3"/>
</worksheet>
</file>

<file path=xl/worksheets/sheet11.xml><?xml version="1.0" encoding="utf-8"?>
<worksheet xmlns="http://schemas.openxmlformats.org/spreadsheetml/2006/main">
  <sheetPr>
    <tabColor theme="0" tint="-0.1499984740745262"/>
    <outlinePr summaryBelow="1" summaryRight="1"/>
    <pageSetUpPr/>
  </sheetPr>
  <dimension ref="A2:H23"/>
  <sheetViews>
    <sheetView showGridLines="0" zoomScaleNormal="100" workbookViewId="0">
      <selection activeCell="B3" sqref="B3"/>
    </sheetView>
  </sheetViews>
  <sheetFormatPr baseColWidth="8" defaultColWidth="9.140625" defaultRowHeight="15"/>
  <cols>
    <col width="16.140625" customWidth="1" min="1" max="1"/>
    <col width="24.140625" customWidth="1" min="2" max="2"/>
    <col width="8.85546875" customWidth="1" min="3" max="3"/>
    <col width="19.5703125" customWidth="1" min="4" max="4"/>
    <col width="39" bestFit="1" customWidth="1" min="5" max="5"/>
    <col width="15.85546875" bestFit="1" customWidth="1" min="6" max="6"/>
    <col width="7.140625" bestFit="1" customWidth="1" min="7" max="7"/>
    <col width="14.28515625" bestFit="1" customWidth="1" min="8" max="8"/>
    <col width="40.28515625" customWidth="1" min="9" max="9"/>
  </cols>
  <sheetData>
    <row r="2">
      <c r="A2" s="2" t="inlineStr">
        <is>
          <t>Project code</t>
        </is>
      </c>
      <c r="B2" s="139" t="inlineStr">
        <is>
          <t>flow-cc-s7-l1</t>
        </is>
      </c>
      <c r="C2" s="2" t="n"/>
      <c r="E2" s="140" t="inlineStr">
        <is>
          <t>Tag</t>
        </is>
      </c>
      <c r="F2" s="141" t="inlineStr">
        <is>
          <t>Prefix</t>
        </is>
      </c>
      <c r="G2" s="142" t="inlineStr">
        <is>
          <t>Infix</t>
        </is>
      </c>
      <c r="H2" s="143" t="inlineStr">
        <is>
          <t>Postfix</t>
        </is>
      </c>
    </row>
    <row r="3">
      <c r="A3" s="2" t="inlineStr">
        <is>
          <t>Bundle Product</t>
        </is>
      </c>
      <c r="B3" s="144" t="n"/>
      <c r="C3" s="2" t="n"/>
      <c r="D3" s="176" t="inlineStr">
        <is>
          <t>General</t>
        </is>
      </c>
      <c r="E3" s="177">
        <f>IF(COUNTBLANK(F3)=1,"",F3&amp;"-")&amp;$B$2&amp;IF(COUNTBLANK(G3)=1,"","-"&amp;G3)&amp;IF(COUNTBLANK(H3)=1,"","-"&amp;H3)</f>
        <v/>
      </c>
      <c r="F3" s="138" t="inlineStr">
        <is>
          <t>optin</t>
        </is>
      </c>
      <c r="H3" s="137" t="n"/>
    </row>
    <row r="4">
      <c r="A4" s="2" t="n"/>
      <c r="E4" s="145">
        <f>IF(COUNTBLANK(F4)=1,"",F4&amp;"-")&amp;$B$2&amp;IF(COUNTBLANK(G4)=1,"","-"&amp;G4)&amp;IF(COUNTBLANK(H4)=1,"","-"&amp;H4)</f>
        <v/>
      </c>
      <c r="F4" s="138" t="inlineStr">
        <is>
          <t>optin</t>
        </is>
      </c>
      <c r="H4" s="137" t="inlineStr">
        <is>
          <t>org</t>
        </is>
      </c>
    </row>
    <row r="5">
      <c r="E5" s="145">
        <f>IF(COUNTBLANK(F5)=1,"",F5&amp;"-")&amp;$B$2&amp;IF(COUNTBLANK(G5)=1,"","-"&amp;G5)&amp;IF(COUNTBLANK(H5)=1,"","-"&amp;H5)</f>
        <v/>
      </c>
      <c r="F5" s="138" t="inlineStr">
        <is>
          <t>optin</t>
        </is>
      </c>
      <c r="H5" s="137" t="inlineStr">
        <is>
          <t>ppc</t>
        </is>
      </c>
    </row>
    <row r="6">
      <c r="E6" s="145">
        <f>IF(COUNTBLANK(F6)=1,"",F6&amp;"-")&amp;$B$2&amp;IF(COUNTBLANK(G6)=1,"","-"&amp;G6)&amp;IF(COUNTBLANK(H6)=1,"","-"&amp;H6)</f>
        <v/>
      </c>
      <c r="F6" s="138" t="inlineStr">
        <is>
          <t>interested</t>
        </is>
      </c>
      <c r="H6" s="137" t="n"/>
    </row>
    <row r="7">
      <c r="A7" s="170" t="inlineStr">
        <is>
          <t>1) Insert Bundle product</t>
        </is>
      </c>
      <c r="B7" s="171" t="n"/>
      <c r="E7" s="145">
        <f>IF(COUNTBLANK(F7)=1,"",F7&amp;"-")&amp;$B$2&amp;IF(COUNTBLANK(G7)=1,"","-"&amp;G7)&amp;IF(COUNTBLANK(H7)=1,"","-"&amp;H7)</f>
        <v/>
      </c>
      <c r="F7" s="138" t="inlineStr">
        <is>
          <t>not-interested</t>
        </is>
      </c>
      <c r="H7" s="137" t="n"/>
    </row>
    <row r="8">
      <c r="A8" s="172" t="inlineStr">
        <is>
          <t>2) Copy all needed tags</t>
        </is>
      </c>
      <c r="B8" s="173" t="n"/>
      <c r="C8" s="2" t="n"/>
      <c r="E8" s="145">
        <f>IF(COUNTBLANK(F8)=1,"",F8&amp;"-")&amp;$B$2&amp;IF(COUNTBLANK(G8)=1,"","-"&amp;G8)&amp;IF(COUNTBLANK(H8)=1,"","-"&amp;H8)</f>
        <v/>
      </c>
      <c r="F8" s="138" t="inlineStr">
        <is>
          <t>purchase</t>
        </is>
      </c>
      <c r="H8" s="137" t="n"/>
    </row>
    <row r="9">
      <c r="A9" s="174" t="inlineStr">
        <is>
          <t>3) Past them in AC (Contacts --&gt; Tags --&gt; Add Tags)</t>
        </is>
      </c>
      <c r="B9" s="175" t="n"/>
      <c r="C9" s="2" t="n"/>
      <c r="E9" s="145">
        <f>IF(COUNTBLANK(F9)=1,"",F9&amp;"-")&amp;$B$2&amp;IF(COUNTBLANK(G9)=1,"","-"&amp;G9)&amp;IF(COUNTBLANK(H9)=1,"","-"&amp;H9)</f>
        <v/>
      </c>
      <c r="F9" s="138" t="inlineStr">
        <is>
          <t>tracked</t>
        </is>
      </c>
      <c r="H9" s="137" t="n"/>
    </row>
    <row r="10">
      <c r="B10" s="2" t="n"/>
      <c r="C10" s="2" t="n"/>
      <c r="E10" s="145">
        <f>IF(COUNTBLANK(F10)=1,"",F10&amp;"-")&amp;$B$2&amp;IF(COUNTBLANK(G10)=1,"","-"&amp;G10)&amp;IF(COUNTBLANK(H10)=1,"","-"&amp;H10)</f>
        <v/>
      </c>
      <c r="F10" s="138" t="inlineStr">
        <is>
          <t>refund</t>
        </is>
      </c>
      <c r="H10" s="137" t="n"/>
    </row>
    <row r="11">
      <c r="B11" s="2" t="n"/>
      <c r="C11" s="2" t="n"/>
      <c r="E11" s="146">
        <f>IF(COUNTBLANK(F11)=1,"",F11&amp;"-")&amp;$B$2&amp;IF(COUNTBLANK(G11)=1,"","-"&amp;G11)&amp;IF(COUNTBLANK(H11)=1,"","-"&amp;H11)</f>
        <v/>
      </c>
      <c r="F11" s="147" t="inlineStr">
        <is>
          <t>abandoned</t>
        </is>
      </c>
      <c r="G11" s="148" t="n"/>
      <c r="H11" s="149" t="n"/>
    </row>
    <row r="12">
      <c r="D12" s="168" t="inlineStr">
        <is>
          <t>MC</t>
        </is>
      </c>
      <c r="E12" s="154">
        <f>IF(COUNTBLANK(F12)=1,"",F12&amp;"-")&amp;$B$2&amp;IF(COUNTBLANK(G12)=1,"","-"&amp;G12)&amp;IF(COUNTBLANK(H12)=1,"","-"&amp;H12)</f>
        <v/>
      </c>
      <c r="F12" s="155" t="inlineStr">
        <is>
          <t>attended</t>
        </is>
      </c>
      <c r="G12" s="46" t="n"/>
      <c r="H12" s="156" t="n"/>
    </row>
    <row r="13">
      <c r="E13" s="154">
        <f>IF(COUNTBLANK(F13)=1,"",F13&amp;"-")&amp;$B$2&amp;IF(COUNTBLANK(G13)=1,"","-"&amp;G13)&amp;IF(COUNTBLANK(H13)=1,"","-"&amp;H13)</f>
        <v/>
      </c>
      <c r="F13" s="155" t="inlineStr">
        <is>
          <t>leftearly</t>
        </is>
      </c>
      <c r="G13" s="46" t="n"/>
      <c r="H13" s="156" t="n"/>
    </row>
    <row r="14">
      <c r="D14" s="2" t="n"/>
      <c r="E14" s="154">
        <f>IF(COUNTBLANK(F14)=1,"",F14&amp;"-")&amp;$B$2&amp;IF(COUNTBLANK(G14)=1,"","-"&amp;G14)&amp;IF(COUNTBLANK(H14)=1,"","-"&amp;H14)</f>
        <v/>
      </c>
      <c r="F14" s="155" t="inlineStr">
        <is>
          <t>missed</t>
        </is>
      </c>
      <c r="G14" s="46" t="n"/>
      <c r="H14" s="156" t="n"/>
    </row>
    <row r="15" ht="30" customHeight="1">
      <c r="D15" s="2" t="n"/>
      <c r="E15" s="157">
        <f>IF(COUNTBLANK(F15)=1,"",F15&amp;"-")&amp;$B$2&amp;IF(COUNTBLANK(G15)=1,"","-"&amp;G15)&amp;IF(COUNTBLANK(H15)=1,"","-"&amp;H15)</f>
        <v/>
      </c>
      <c r="F15" s="158" t="inlineStr">
        <is>
          <t>easyweb missing</t>
        </is>
      </c>
      <c r="G15" s="47" t="n"/>
      <c r="H15" s="156" t="n"/>
    </row>
    <row r="16">
      <c r="D16" s="2" t="n"/>
      <c r="E16" s="154">
        <f>IF(COUNTBLANK(F16)=1,"",F16&amp;"-")&amp;$B$2&amp;IF(COUNTBLANK(G16)=1,"","-"&amp;G16)&amp;IF(COUNTBLANK(H16)=1,"","-"&amp;H16)</f>
        <v/>
      </c>
      <c r="F16" s="155" t="inlineStr">
        <is>
          <t>unconfirmed</t>
        </is>
      </c>
      <c r="G16" s="46" t="n"/>
      <c r="H16" s="156" t="inlineStr">
        <is>
          <t>org</t>
        </is>
      </c>
    </row>
    <row r="17">
      <c r="D17" s="2" t="n"/>
      <c r="E17" s="157">
        <f>IF(COUNTBLANK(F17)=1,"",F17&amp;"-")&amp;$B$2&amp;IF(COUNTBLANK(G17)=1,"","-"&amp;G17)&amp;IF(COUNTBLANK(H17)=1,"","-"&amp;H17)</f>
        <v/>
      </c>
      <c r="F17" s="158" t="inlineStr">
        <is>
          <t>unconfirmed</t>
        </is>
      </c>
      <c r="G17" s="47" t="n"/>
      <c r="H17" s="156" t="inlineStr">
        <is>
          <t>ppc</t>
        </is>
      </c>
    </row>
    <row r="18">
      <c r="D18" s="169" t="inlineStr">
        <is>
          <t>Direct Optin</t>
        </is>
      </c>
      <c r="E18" s="159">
        <f>IF(COUNTBLANK(F18)=1,"",F18&amp;"-")&amp;$B$2&amp;IF(COUNTBLANK(G18)=1,"","-"&amp;G18)&amp;IF(COUNTBLANK(H18)=1,"","-"&amp;H18)</f>
        <v/>
      </c>
      <c r="F18" s="160" t="n"/>
      <c r="G18" s="161" t="n"/>
      <c r="H18" s="162" t="inlineStr">
        <is>
          <t>optin 1 clickers</t>
        </is>
      </c>
    </row>
    <row r="19">
      <c r="E19" s="159">
        <f>IF(COUNTBLANK(F19)=1,"",F19&amp;"-")&amp;$B$2&amp;IF(COUNTBLANK(G19)=1,"","-"&amp;G19)&amp;IF(COUNTBLANK(H19)=1,"","-"&amp;H19)</f>
        <v/>
      </c>
      <c r="F19" s="160" t="n"/>
      <c r="G19" s="161" t="n"/>
      <c r="H19" s="162" t="inlineStr">
        <is>
          <t>optin 2 clickers</t>
        </is>
      </c>
    </row>
    <row r="20">
      <c r="B20" s="2" t="n"/>
      <c r="C20" s="2" t="n"/>
      <c r="E20" s="159">
        <f>IF(COUNTBLANK(F20)=1,"",F20&amp;"-")&amp;$B$2&amp;IF(COUNTBLANK(G20)=1,"","-"&amp;G20)&amp;IF(COUNTBLANK(H20)=1,"","-"&amp;H20)</f>
        <v/>
      </c>
      <c r="F20" s="160" t="n"/>
      <c r="G20" s="161" t="n"/>
      <c r="H20" s="162" t="inlineStr">
        <is>
          <t>optin 3 clickers</t>
        </is>
      </c>
    </row>
    <row r="21">
      <c r="B21" s="2" t="n"/>
      <c r="C21" s="2" t="n"/>
      <c r="E21" s="163">
        <f>IF(COUNTBLANK(F21)=1,"",F21&amp;"-")&amp;$B$2&amp;IF(COUNTBLANK(G21)=1,"","-"&amp;G21)&amp;IF(COUNTBLANK(H21)=1,"","-"&amp;H21)</f>
        <v/>
      </c>
      <c r="F21" s="164" t="n"/>
      <c r="G21" s="165" t="n"/>
      <c r="H21" s="166" t="inlineStr">
        <is>
          <t>optin 4 clickers</t>
        </is>
      </c>
    </row>
    <row r="22">
      <c r="D22" s="167" t="inlineStr">
        <is>
          <t>Bundle</t>
        </is>
      </c>
      <c r="E22" s="150">
        <f>F22&amp;"-"&amp;LEFT($B$3,LEN($B$3)-3)&amp;IF(COUNTBLANK(G22)=1,"","-"&amp;G22)&amp;IF(COUNTBLANK(H22)=1,"","-"&amp;H22)</f>
        <v/>
      </c>
      <c r="F22" s="151" t="inlineStr">
        <is>
          <t>purchase</t>
        </is>
      </c>
      <c r="G22" s="152" t="inlineStr">
        <is>
          <t>bundle</t>
        </is>
      </c>
      <c r="H22" s="153">
        <f>B2</f>
        <v/>
      </c>
    </row>
    <row r="23">
      <c r="E23" s="150">
        <f>F23&amp;"-"&amp;LEFT($B$3,LEN($B$3)-3)&amp;IF(COUNTBLANK(G23)=1,"","-"&amp;G23)&amp;IF(COUNTBLANK(H23)=1,"","-"&amp;H23)</f>
        <v/>
      </c>
      <c r="F23" s="151" t="inlineStr">
        <is>
          <t>refund</t>
        </is>
      </c>
      <c r="G23" s="152" t="inlineStr">
        <is>
          <t>bundle</t>
        </is>
      </c>
      <c r="H23" s="153">
        <f>B3</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C2:I8"/>
  <sheetViews>
    <sheetView workbookViewId="0">
      <selection activeCell="I5" sqref="I5"/>
    </sheetView>
  </sheetViews>
  <sheetFormatPr baseColWidth="8" defaultColWidth="9.140625" defaultRowHeight="15"/>
  <cols>
    <col width="19.85546875" bestFit="1" customWidth="1" min="3" max="3"/>
    <col width="27.5703125" bestFit="1" customWidth="1" min="4" max="4"/>
    <col width="26.42578125" customWidth="1" min="8" max="8"/>
  </cols>
  <sheetData>
    <row r="2">
      <c r="D2" s="2" t="inlineStr">
        <is>
          <t>Status Translation</t>
        </is>
      </c>
    </row>
    <row r="3" customFormat="1" s="2">
      <c r="C3" s="2" t="inlineStr">
        <is>
          <t>Stages Web Graphics</t>
        </is>
      </c>
      <c r="D3" t="inlineStr">
        <is>
          <t>Not started</t>
        </is>
      </c>
      <c r="H3" s="2" t="inlineStr">
        <is>
          <t>Email Scheduled/ sent?</t>
        </is>
      </c>
      <c r="I3" s="2" t="inlineStr">
        <is>
          <t>Platform</t>
        </is>
      </c>
    </row>
    <row r="4">
      <c r="C4" t="inlineStr">
        <is>
          <t>Optin</t>
        </is>
      </c>
      <c r="D4" t="inlineStr">
        <is>
          <t>In progress</t>
        </is>
      </c>
      <c r="F4" s="2" t="inlineStr">
        <is>
          <t>Yes</t>
        </is>
      </c>
      <c r="H4" t="inlineStr">
        <is>
          <t>1-wfr/qm</t>
        </is>
      </c>
      <c r="I4" s="290" t="inlineStr">
        <is>
          <t>Website</t>
        </is>
      </c>
    </row>
    <row r="5" ht="26.25" customHeight="1">
      <c r="C5" t="inlineStr">
        <is>
          <t>Sales</t>
        </is>
      </c>
      <c r="D5" s="2" t="inlineStr">
        <is>
          <t>Translation &amp; QM Completed</t>
        </is>
      </c>
      <c r="F5" t="inlineStr">
        <is>
          <t>No</t>
        </is>
      </c>
      <c r="H5" t="inlineStr">
        <is>
          <t>2-scheduled</t>
        </is>
      </c>
      <c r="I5" s="290" t="inlineStr">
        <is>
          <t>Website &amp; Kajabi</t>
        </is>
      </c>
    </row>
    <row r="6">
      <c r="F6" t="inlineStr">
        <is>
          <t xml:space="preserve">DO NOT TRANSLATE </t>
        </is>
      </c>
      <c r="H6" t="inlineStr">
        <is>
          <t>3-sent</t>
        </is>
      </c>
      <c r="I6" s="290" t="inlineStr">
        <is>
          <t>Kajabi</t>
        </is>
      </c>
    </row>
    <row r="7" ht="39" customHeight="1">
      <c r="I7" s="290" t="inlineStr">
        <is>
          <t>Facebook Ads</t>
        </is>
      </c>
    </row>
    <row r="8">
      <c r="I8" t="inlineStr">
        <is>
          <t>Social Media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Sandro Schneider</dc:creator>
  <dcterms:created xsi:type="dcterms:W3CDTF">2020-03-04T14:01:26Z</dcterms:created>
  <dcterms:modified xsi:type="dcterms:W3CDTF">2026-03-31T08:28:00Z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0x010100F34AB8A40F48774694F2A78ED03BDF2A</vt:lpwstr>
  </property>
  <property name="MediaServiceImageTags" fmtid="{D5CDD505-2E9C-101B-9397-08002B2CF9AE}" pid="3">
    <vt:lpwstr/>
  </property>
</Properties>
</file>